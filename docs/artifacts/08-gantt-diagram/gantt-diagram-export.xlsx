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_Plan" state="visible" r:id="rId4"/>
  </sheets>
  <calcPr calcId="171027"/>
</workbook>
</file>

<file path=xl/sharedStrings.xml><?xml version="1.0" encoding="utf-8"?>
<sst xmlns="http://schemas.openxmlformats.org/spreadsheetml/2006/main" count="131" uniqueCount="85">
  <si>
    <t>ID</t>
  </si>
  <si>
    <t>LVL</t>
  </si>
  <si>
    <t>#</t>
  </si>
  <si>
    <t>TASK NAME</t>
  </si>
  <si>
    <t>OWNER</t>
  </si>
  <si>
    <t>START DATE</t>
  </si>
  <si>
    <t>END DATE</t>
  </si>
  <si>
    <t>PROGRESS</t>
  </si>
  <si>
    <t>STATUS</t>
  </si>
  <si>
    <t>MAY 2026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</si>
  <si>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</si>
  <si>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</si>
  <si>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</si>
  <si>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</si>
  <si>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</si>
  <si>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</si>
  <si>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</si>
  <si>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</si>
  <si>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</si>
  <si>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</si>
  <si>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</si>
  <si>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</si>
  <si>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</si>
  <si>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</si>
  <si>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</si>
  <si>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</si>
  <si>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</si>
  <si>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</si>
  <si>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</si>
  <si>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</si>
  <si>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</si>
  <si>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fa1c79fa-9160-45e2-adf3-8232aae1dfc9</t>
  </si>
  <si>
    <t>Design</t>
  </si>
  <si>
    <t>Unassigned</t>
  </si>
  <si>
    <t>Open</t>
  </si>
  <si>
    <t>53069c39-242c-407a-a1bd-9a0a37217e2c</t>
  </si>
  <si>
    <t xml:space="preserve">    Moodboard</t>
  </si>
  <si>
    <t>4fe88006-86c4-4a42-b957-89bd9072ad1d</t>
  </si>
  <si>
    <t xml:space="preserve">    Wireframes</t>
  </si>
  <si>
    <t>66b2c4e7-b56c-439f-8e3c-4a59146a1111</t>
  </si>
  <si>
    <t xml:space="preserve">    Figma Screens</t>
  </si>
  <si>
    <t>ec5957c2-d56f-4064-a56c-fcf27360564a</t>
  </si>
  <si>
    <t>Frontend</t>
  </si>
  <si>
    <t>435353da-91ae-4c22-a97a-3d2abff5b660</t>
  </si>
  <si>
    <t xml:space="preserve">    Dummy Backend</t>
  </si>
  <si>
    <t>679f99c3-6761-4d4b-b141-2b7a63864470</t>
  </si>
  <si>
    <t xml:space="preserve">    React Home</t>
  </si>
  <si>
    <t>2b69a623-071d-48eb-bdf9-26159d1a4488</t>
  </si>
  <si>
    <t xml:space="preserve">    React Map</t>
  </si>
  <si>
    <t>ce160e92-2110-45e9-9c9c-99d948ee48a3</t>
  </si>
  <si>
    <t>Backend</t>
  </si>
  <si>
    <t>8f0f7925-3436-4d83-8391-edf258aa9759</t>
  </si>
  <si>
    <t xml:space="preserve">    Tests</t>
  </si>
  <si>
    <t>72e64893-90d6-4618-b9c3-2bd98d327906</t>
  </si>
  <si>
    <t xml:space="preserve">    Auth</t>
  </si>
  <si>
    <t>7d236846-9feb-4d9d-8f98-2c71c1951396</t>
  </si>
  <si>
    <t xml:space="preserve">    Topic Backend</t>
  </si>
  <si>
    <t>0d6352bc-dcaa-4e31-9b4d-84ace38e31fd</t>
  </si>
  <si>
    <t xml:space="preserve">    Company Backend</t>
  </si>
  <si>
    <t>fa1405bf-db34-4d91-9b9c-b9b5374046c3</t>
  </si>
  <si>
    <t xml:space="preserve">    Challenge Backend</t>
  </si>
  <si>
    <t>cd3f464c-0ba3-473d-a3ce-4cd4445416ce</t>
  </si>
  <si>
    <t xml:space="preserve">    User Backend</t>
  </si>
  <si>
    <t>2dc98ec5-d2b1-4c0e-b2b0-16ba862d0aae</t>
  </si>
  <si>
    <t>architecture</t>
  </si>
  <si>
    <t>Closed</t>
  </si>
  <si>
    <t>4daade59-3ff9-4a36-b6e4-9e64956a5a5d</t>
  </si>
  <si>
    <t xml:space="preserve">    Klassenstruktur</t>
  </si>
  <si>
    <t>7f791d18-e213-461c-9f13-a9b0121f0642</t>
  </si>
  <si>
    <t>database</t>
  </si>
  <si>
    <t>InProgress</t>
  </si>
  <si>
    <t>e82a0116-5326-4d61-94bf-2570222fbaad</t>
  </si>
  <si>
    <t xml:space="preserve">    Schemata</t>
  </si>
  <si>
    <t>e809f0bf-f478-4ecf-bf1d-7afaae76472a</t>
  </si>
  <si>
    <t xml:space="preserve">    Beispieleinträge</t>
  </si>
  <si>
    <t>8b1b0a4a-61a4-4edb-92ee-68a3b682795f</t>
  </si>
  <si>
    <t>infrastructure</t>
  </si>
  <si>
    <t>3a28fa24-350b-467d-b045-d42d7993950e</t>
  </si>
  <si>
    <t xml:space="preserve">    Postgre DB Setup</t>
  </si>
  <si>
    <t>2c2b532d-854f-4aa9-9f4b-f398fc250980</t>
  </si>
  <si>
    <t xml:space="preserve">    Postgre Backend Setup</t>
  </si>
  <si>
    <t>fe3b0275-5e4f-4978-a330-a45720a45dfe</t>
  </si>
  <si>
    <t>orga</t>
  </si>
  <si>
    <t>a323dd2e-512e-4c6a-a225-2d8efda266d6</t>
  </si>
  <si>
    <t>scrum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</si>
</sst>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color rgb="FF1E293B"/>
      <sz val="10"/>
    </font>
    <font>
      <b/>
      <sz val="11"/>
    </font>
    <font>
      <b/>
      <color rgb="FF64748B"/>
      <sz val="9"/>
    </font>
    <font>
      <b/>
      <color rgb="FF0F172A"/>
      <sz val="11"/>
    </font>
    <font>
      <color rgb="FF475569"/>
      <sz val="10"/>
    </font>
    <font>
      <i/>
      <color rgb="FF334155"/>
      <sz val="11"/>
    </font>
  </fonts>
  <fills count="13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84CC16"/>
      </patternFill>
    </fill>
    <fill>
      <patternFill patternType="solid">
        <fgColor rgb="FFA3E635"/>
      </patternFill>
    </fill>
    <fill>
      <patternFill patternType="solid">
        <fgColor rgb="FF3B82F6"/>
      </patternFill>
    </fill>
    <fill>
      <patternFill patternType="solid">
        <fgColor rgb="FFD946EF"/>
      </patternFill>
    </fill>
    <fill>
      <patternFill patternType="solid">
        <fgColor rgb="FF6B7280"/>
      </patternFill>
    </fill>
    <fill>
      <patternFill patternType="solid">
        <fgColor rgb="FF38BDF8"/>
      </patternFill>
    </fill>
    <fill>
      <patternFill patternType="solid">
        <fgColor rgb="FFEF4444"/>
      </patternFill>
    </fill>
    <fill>
      <patternFill patternType="solid">
        <fgColor rgb="FFFBBF24"/>
      </patternFill>
    </fill>
  </fills>
  <borders count="2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dotted">
        <color rgb="FFE2E8F0"/>
      </right>
      <top/>
      <bottom style="dotted">
        <color rgb="FFE2E8F0"/>
      </bottom>
      <diagonal/>
    </border>
    <border>
      <left/>
      <right style="thin">
        <color rgb="FFE2E8F0"/>
      </right>
      <top/>
      <bottom style="dotted">
        <color rgb="FFE2E8F0"/>
      </bottom>
      <diagonal/>
    </border>
    <border>
      <left style="medium">
        <color rgb="FF84CC16"/>
      </left>
      <right style="thin">
        <color rgb="FF84CC16"/>
      </right>
      <top style="medium">
        <color rgb="FF84CC16"/>
      </top>
      <bottom style="medium">
        <color rgb="FF84CC16"/>
      </bottom>
      <diagonal/>
    </border>
    <border>
      <left style="thin">
        <color rgb="FF84CC16"/>
      </left>
      <right style="thin">
        <color rgb="FF84CC16"/>
      </right>
      <top style="medium">
        <color rgb="FF84CC16"/>
      </top>
      <bottom style="medium">
        <color rgb="FF84CC16"/>
      </bottom>
      <diagonal/>
    </border>
    <border>
      <left style="thin">
        <color rgb="FF84CC16"/>
      </left>
      <right style="medium">
        <color rgb="FF84CC16"/>
      </right>
      <top style="medium">
        <color rgb="FF84CC16"/>
      </top>
      <bottom style="medium">
        <color rgb="FF84CC16"/>
      </bottom>
      <diagonal/>
    </border>
    <border>
      <left style="medium">
        <color rgb="FFA3E635"/>
      </left>
      <right style="thin">
        <color rgb="FFA3E635"/>
      </right>
      <top style="medium">
        <color rgb="FFA3E635"/>
      </top>
      <bottom style="medium">
        <color rgb="FFA3E635"/>
      </bottom>
      <diagonal/>
    </border>
    <border>
      <left style="thin">
        <color rgb="FFA3E635"/>
      </left>
      <right style="thin">
        <color rgb="FFA3E635"/>
      </right>
      <top style="medium">
        <color rgb="FFA3E635"/>
      </top>
      <bottom style="medium">
        <color rgb="FFA3E635"/>
      </bottom>
      <diagonal/>
    </border>
    <border>
      <left style="thin">
        <color rgb="FFA3E635"/>
      </left>
      <right style="medium">
        <color rgb="FFA3E635"/>
      </right>
      <top style="medium">
        <color rgb="FFA3E635"/>
      </top>
      <bottom style="medium">
        <color rgb="FFA3E635"/>
      </bottom>
      <diagonal/>
    </border>
    <border>
      <left style="medium">
        <color rgb="FF3B82F6"/>
      </left>
      <right style="thin">
        <color rgb="FF3B82F6"/>
      </right>
      <top style="medium">
        <color rgb="FF3B82F6"/>
      </top>
      <bottom style="medium">
        <color rgb="FF3B82F6"/>
      </bottom>
      <diagonal/>
    </border>
    <border>
      <left style="thin">
        <color rgb="FF3B82F6"/>
      </left>
      <right style="thin">
        <color rgb="FF3B82F6"/>
      </right>
      <top style="medium">
        <color rgb="FF3B82F6"/>
      </top>
      <bottom style="medium">
        <color rgb="FF3B82F6"/>
      </bottom>
      <diagonal/>
    </border>
    <border>
      <left style="thin">
        <color rgb="FF3B82F6"/>
      </left>
      <right style="medium">
        <color rgb="FF3B82F6"/>
      </right>
      <top style="medium">
        <color rgb="FF3B82F6"/>
      </top>
      <bottom style="medium">
        <color rgb="FF3B82F6"/>
      </bottom>
      <diagonal/>
    </border>
    <border>
      <left style="medium">
        <color rgb="FFD946EF"/>
      </left>
      <right style="thin">
        <color rgb="FFD946EF"/>
      </right>
      <top style="medium">
        <color rgb="FFD946EF"/>
      </top>
      <bottom style="medium">
        <color rgb="FFD946EF"/>
      </bottom>
      <diagonal/>
    </border>
    <border>
      <left style="thin">
        <color rgb="FFD946EF"/>
      </left>
      <right style="thin">
        <color rgb="FFD946EF"/>
      </right>
      <top style="medium">
        <color rgb="FFD946EF"/>
      </top>
      <bottom style="medium">
        <color rgb="FFD946EF"/>
      </bottom>
      <diagonal/>
    </border>
    <border>
      <left style="thin">
        <color rgb="FFD946EF"/>
      </left>
      <right style="medium">
        <color rgb="FFD946EF"/>
      </right>
      <top style="medium">
        <color rgb="FFD946EF"/>
      </top>
      <bottom style="medium">
        <color rgb="FFD946EF"/>
      </bottom>
      <diagonal/>
    </border>
    <border>
      <left style="medium">
        <color rgb="FF6B7280"/>
      </left>
      <right style="thin">
        <color rgb="FF6B7280"/>
      </right>
      <top style="medium">
        <color rgb="FF6B7280"/>
      </top>
      <bottom style="medium">
        <color rgb="FF6B7280"/>
      </bottom>
      <diagonal/>
    </border>
    <border>
      <left style="thin">
        <color rgb="FF6B7280"/>
      </left>
      <right style="thin">
        <color rgb="FF6B7280"/>
      </right>
      <top style="medium">
        <color rgb="FF6B7280"/>
      </top>
      <bottom style="medium">
        <color rgb="FF6B7280"/>
      </bottom>
      <diagonal/>
    </border>
    <border>
      <left style="thin">
        <color rgb="FF6B7280"/>
      </left>
      <right style="medium">
        <color rgb="FF6B7280"/>
      </right>
      <top style="medium">
        <color rgb="FF6B7280"/>
      </top>
      <bottom style="medium">
        <color rgb="FF6B7280"/>
      </bottom>
      <diagonal/>
    </border>
    <border>
      <left style="medium">
        <color rgb="FF38BDF8"/>
      </left>
      <right style="thin">
        <color rgb="FF38BDF8"/>
      </right>
      <top style="medium">
        <color rgb="FF38BDF8"/>
      </top>
      <bottom style="medium">
        <color rgb="FF38BDF8"/>
      </bottom>
      <diagonal/>
    </border>
    <border>
      <left style="thin">
        <color rgb="FF38BDF8"/>
      </left>
      <right style="thin">
        <color rgb="FF38BDF8"/>
      </right>
      <top style="medium">
        <color rgb="FF38BDF8"/>
      </top>
      <bottom style="medium">
        <color rgb="FF38BDF8"/>
      </bottom>
      <diagonal/>
    </border>
    <border>
      <left style="thin">
        <color rgb="FF38BDF8"/>
      </left>
      <right style="medium">
        <color rgb="FF38BDF8"/>
      </right>
      <top style="medium">
        <color rgb="FF38BDF8"/>
      </top>
      <bottom style="medium">
        <color rgb="FF38BDF8"/>
      </bottom>
      <diagonal/>
    </border>
    <border>
      <left style="medium">
        <color rgb="FFEF4444"/>
      </left>
      <right style="thin">
        <color rgb="FFEF4444"/>
      </right>
      <top style="medium">
        <color rgb="FFEF4444"/>
      </top>
      <bottom style="medium">
        <color rgb="FFEF4444"/>
      </bottom>
      <diagonal/>
    </border>
    <border>
      <left style="thin">
        <color rgb="FFEF4444"/>
      </left>
      <right style="thin">
        <color rgb="FFEF4444"/>
      </right>
      <top style="medium">
        <color rgb="FFEF4444"/>
      </top>
      <bottom style="medium">
        <color rgb="FFEF4444"/>
      </bottom>
      <diagonal/>
    </border>
    <border>
      <left style="thin">
        <color rgb="FFEF4444"/>
      </left>
      <right style="medium">
        <color rgb="FFEF4444"/>
      </right>
      <top style="medium">
        <color rgb="FFEF4444"/>
      </top>
      <bottom style="medium">
        <color rgb="FFEF4444"/>
      </bottom>
      <diagonal/>
    </border>
    <border>
      <left style="medium">
        <color rgb="FFFBBF24"/>
      </left>
      <right style="thin">
        <color rgb="FFFBBF24"/>
      </right>
      <top style="medium">
        <color rgb="FFFBBF24"/>
      </top>
      <bottom style="medium">
        <color rgb="FFFBBF24"/>
      </bottom>
      <diagonal/>
    </border>
    <border>
      <left style="thin">
        <color rgb="FFFBBF24"/>
      </left>
      <right style="thin">
        <color rgb="FFFBBF24"/>
      </right>
      <top style="medium">
        <color rgb="FFFBBF24"/>
      </top>
      <bottom style="medium">
        <color rgb="FFFBBF24"/>
      </bottom>
      <diagonal/>
    </border>
    <border>
      <left style="thin">
        <color rgb="FFFBBF24"/>
      </left>
      <right style="medium">
        <color rgb="FFFBBF24"/>
      </right>
      <top style="medium">
        <color rgb="FFFBBF24"/>
      </top>
      <bottom style="medium">
        <color rgb="FFFBBF2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0" fillId="4" borderId="2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0" borderId="2" xfId="0" applyBorder="1"/>
    <xf numFmtId="0" fontId="6" fillId="0" borderId="3" xfId="0" applyFont="1" applyBorder="1" applyAlignment="1">
      <alignment horizontal="left" vertical="center"/>
    </xf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0" fillId="8" borderId="15" xfId="0" applyFill="1" applyBorder="1"/>
    <xf numFmtId="0" fontId="0" fillId="9" borderId="16" xfId="0" applyFill="1" applyBorder="1"/>
    <xf numFmtId="0" fontId="0" fillId="9" borderId="17" xfId="0" applyFill="1" applyBorder="1"/>
    <xf numFmtId="0" fontId="0" fillId="9" borderId="18" xfId="0" applyFill="1" applyBorder="1"/>
    <xf numFmtId="0" fontId="0" fillId="10" borderId="19" xfId="0" applyFill="1" applyBorder="1"/>
    <xf numFmtId="0" fontId="0" fillId="10" borderId="20" xfId="0" applyFill="1" applyBorder="1"/>
    <xf numFmtId="0" fontId="0" fillId="10" borderId="21" xfId="0" applyFill="1" applyBorder="1"/>
    <xf numFmtId="0" fontId="0" fillId="11" borderId="22" xfId="0" applyFill="1" applyBorder="1"/>
    <xf numFmtId="0" fontId="0" fillId="11" borderId="23" xfId="0" applyFill="1" applyBorder="1"/>
    <xf numFmtId="0" fontId="0" fillId="11" borderId="24" xfId="0" applyFill="1" applyBorder="1"/>
    <xf numFmtId="0" fontId="0" fillId="12" borderId="25" xfId="0" applyFill="1" applyBorder="1"/>
    <xf numFmtId="0" fontId="0" fillId="12" borderId="26" xfId="0" applyFill="1" applyBorder="1"/>
    <xf numFmtId="0" fontId="0" fillId="12" borderId="2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>
      <pane xSplit="9" ySplit="2" topLeftCell="J3" activePane="bottomRight" state="frozen"/>
      <selection pane="bottomRight"/>
    </sheetView>
  </sheetViews>
  <sheetFormatPr defaultRowHeight="15" outlineLevelRow="0" outlineLevelCol="0" x14ac:dyDescent="55"/>
  <cols>
    <col min="1" max="1" width="10" hidden="1" customWidth="1"/>
    <col min="2" max="2" width="5" hidden="1" customWidth="1"/>
    <col min="3" max="3" width="8" customWidth="1"/>
    <col min="4" max="4" width="40" customWidth="1"/>
    <col min="5" max="5" width="20" customWidth="1"/>
    <col min="6" max="7" width="15" customWidth="1"/>
    <col min="8" max="8" width="10" customWidth="1"/>
    <col min="9" max="9" width="15" customWidth="1"/>
    <col min="10" max="30" width="4" customWidth="1"/>
  </cols>
  <sheetData>
    <row r="1" ht="25" customHeight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ht="25" customHeight="1" spans="1:30" x14ac:dyDescent="0.25">
      <c r="A2"/>
      <c r="B2"/>
      <c r="C2"/>
      <c r="D2"/>
      <c r="E2"/>
      <c r="F2"/>
      <c r="G2"/>
      <c r="H2"/>
      <c r="I2"/>
      <c r="J2" s="3" t="s">
        <v>10</v>
      </c>
      <c r="K2" s="3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3" t="s">
        <v>17</v>
      </c>
      <c r="R2" s="3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3" t="s">
        <v>24</v>
      </c>
      <c r="Y2" s="3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3" ht="24" customHeight="1" spans="1:30" x14ac:dyDescent="0.25">
      <c r="A3" t="s">
        <v>31</v>
      </c>
      <c r="B3">
        <v>0</v>
      </c>
      <c r="C3" s="4">
        <v>1</v>
      </c>
      <c r="D3" s="5" t="s">
        <v>32</v>
      </c>
      <c r="E3" s="6" t="s">
        <v>33</v>
      </c>
      <c r="F3" s="7">
        <f>MIN(F4:F6)</f>
      </c>
      <c r="G3" s="7">
        <f>MAX(G4:G6)</f>
      </c>
      <c r="H3" s="6">
        <v>0</v>
      </c>
      <c r="I3" s="6" t="s">
        <v>34</v>
      </c>
      <c r="J3" s="8"/>
      <c r="K3" s="8"/>
      <c r="L3" s="9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  <c r="Z3" s="12"/>
      <c r="AA3" s="12"/>
      <c r="AB3" s="12"/>
      <c r="AC3" s="12"/>
      <c r="AD3" s="12"/>
    </row>
    <row r="4" ht="24" customHeight="1" spans="1:30" x14ac:dyDescent="0.25">
      <c r="A4" t="s">
        <v>35</v>
      </c>
      <c r="B4">
        <v>1</v>
      </c>
      <c r="C4" s="4">
        <f>IF(B4 &gt; B3, C3 &amp; ".1", IF(ISERROR(FIND("~", SUBSTITUTE(IF(ISERROR(FIND("~", SUBSTITUTE(C3, ".", "~", B4+1))), C3, LEFT(C3, FIND("~", SUBSTITUTE(C3, ".", "~", B4+1)) - 1)), ".", "~", LEN(IF(ISERROR(FIND("~", SUBSTITUTE(C3, ".", "~", B4+1))), C3, LEFT(C3, FIND("~", SUBSTITUTE(C3, ".", "~", B4+1)) - 1)))-LEN(SUBSTITUTE(IF(ISERROR(FIND("~", SUBSTITUTE(C3, ".", "~", B4+1))), C3, LEFT(C3, FIND("~", SUBSTITUTE(C3, ".", "~", B4+1)) - 1)), ".", ""))))), IF(ISERROR(FIND("~", SUBSTITUTE(C3, ".", "~", B4+1))), C3, LEFT(C3, FIND("~", SUBSTITUTE(C3, ".", "~", B4+1)) - 1))+1, LEFT(IF(ISERROR(FIND("~", SUBSTITUTE(C3, ".", "~", B4+1))), C3, LEFT(C3, FIND("~", SUBSTITUTE(C3, ".", "~", B4+1)) - 1)), FIND("~", SUBSTITUTE(IF(ISERROR(FIND("~", SUBSTITUTE(C3, ".", "~", B4+1))), C3, LEFT(C3, FIND("~", SUBSTITUTE(C3, ".", "~", B4+1)) - 1)), ".", "~", LEN(IF(ISERROR(FIND("~", SUBSTITUTE(C3, ".", "~", B4+1))), C3, LEFT(C3, FIND("~", SUBSTITUTE(C3, ".", "~", B4+1)) - 1)))-LEN(SUBSTITUTE(IF(ISERROR(FIND("~", SUBSTITUTE(C3, ".", "~", B4+1))), C3, LEFT(C3, FIND("~", SUBSTITUTE(C3, ".", "~", B4+1)) - 1)), ".", ""))))) &amp; (MID(IF(ISERROR(FIND("~", SUBSTITUTE(C3, ".", "~", B4+1))), C3, LEFT(C3, FIND("~", SUBSTITUTE(C3, ".", "~", B4+1)) - 1)), FIND("~", SUBSTITUTE(IF(ISERROR(FIND("~", SUBSTITUTE(C3, ".", "~", B4+1))), C3, LEFT(C3, FIND("~", SUBSTITUTE(C3, ".", "~", B4+1)) - 1)), ".", "~", LEN(IF(ISERROR(FIND("~", SUBSTITUTE(C3, ".", "~", B4+1))), C3, LEFT(C3, FIND("~", SUBSTITUTE(C3, ".", "~", B4+1)) - 1)))-LEN(SUBSTITUTE(IF(ISERROR(FIND("~", SUBSTITUTE(C3, ".", "~", B4+1))), C3, LEFT(C3, FIND("~", SUBSTITUTE(C3, ".", "~", B4+1)) - 1)), ".", ""))))+1, 100)+1)))</f>
      </c>
      <c r="D4" s="13" t="s">
        <v>36</v>
      </c>
      <c r="E4" s="6" t="s">
        <v>33</v>
      </c>
      <c r="F4" s="7">
        <v>46153.91666666667</v>
      </c>
      <c r="G4" s="7">
        <v>46155.91666666667</v>
      </c>
      <c r="H4" s="6">
        <v>0</v>
      </c>
      <c r="I4" s="6" t="s">
        <v>34</v>
      </c>
      <c r="J4" s="8"/>
      <c r="K4" s="8"/>
      <c r="L4" s="9"/>
      <c r="M4" s="10"/>
      <c r="N4" s="11"/>
      <c r="O4" s="12"/>
      <c r="P4" s="12"/>
      <c r="Q4" s="8"/>
      <c r="R4" s="8"/>
      <c r="S4" s="12"/>
      <c r="T4" s="12"/>
      <c r="U4" s="12"/>
      <c r="V4" s="12"/>
      <c r="W4" s="12"/>
      <c r="X4" s="8"/>
      <c r="Y4" s="8"/>
      <c r="Z4" s="12"/>
      <c r="AA4" s="12"/>
      <c r="AB4" s="12"/>
      <c r="AC4" s="12"/>
      <c r="AD4" s="12"/>
    </row>
    <row r="5" ht="24" customHeight="1" spans="1:30" x14ac:dyDescent="0.25">
      <c r="A5" t="s">
        <v>37</v>
      </c>
      <c r="B5">
        <v>1</v>
      </c>
      <c r="C5" s="4">
        <f>IF(B5 &gt; B4, C4 &amp; ".1", IF(ISERROR(FIND("~", SUBSTITUTE(IF(ISERROR(FIND("~", SUBSTITUTE(C4, ".", "~", B5+1))), C4, LEFT(C4, FIND("~", SUBSTITUTE(C4, ".", "~", B5+1)) - 1)), ".", "~", LEN(IF(ISERROR(FIND("~", SUBSTITUTE(C4, ".", "~", B5+1))), C4, LEFT(C4, FIND("~", SUBSTITUTE(C4, ".", "~", B5+1)) - 1)))-LEN(SUBSTITUTE(IF(ISERROR(FIND("~", SUBSTITUTE(C4, ".", "~", B5+1))), C4, LEFT(C4, FIND("~", SUBSTITUTE(C4, ".", "~", B5+1)) - 1)), ".", ""))))), IF(ISERROR(FIND("~", SUBSTITUTE(C4, ".", "~", B5+1))), C4, LEFT(C4, FIND("~", SUBSTITUTE(C4, ".", "~", B5+1)) - 1))+1, LEFT(IF(ISERROR(FIND("~", SUBSTITUTE(C4, ".", "~", B5+1))), C4, LEFT(C4, FIND("~", SUBSTITUTE(C4, ".", "~", B5+1)) - 1)), FIND("~", SUBSTITUTE(IF(ISERROR(FIND("~", SUBSTITUTE(C4, ".", "~", B5+1))), C4, LEFT(C4, FIND("~", SUBSTITUTE(C4, ".", "~", B5+1)) - 1)), ".", "~", LEN(IF(ISERROR(FIND("~", SUBSTITUTE(C4, ".", "~", B5+1))), C4, LEFT(C4, FIND("~", SUBSTITUTE(C4, ".", "~", B5+1)) - 1)))-LEN(SUBSTITUTE(IF(ISERROR(FIND("~", SUBSTITUTE(C4, ".", "~", B5+1))), C4, LEFT(C4, FIND("~", SUBSTITUTE(C4, ".", "~", B5+1)) - 1)), ".", ""))))) &amp; (MID(IF(ISERROR(FIND("~", SUBSTITUTE(C4, ".", "~", B5+1))), C4, LEFT(C4, FIND("~", SUBSTITUTE(C4, ".", "~", B5+1)) - 1)), FIND("~", SUBSTITUTE(IF(ISERROR(FIND("~", SUBSTITUTE(C4, ".", "~", B5+1))), C4, LEFT(C4, FIND("~", SUBSTITUTE(C4, ".", "~", B5+1)) - 1)), ".", "~", LEN(IF(ISERROR(FIND("~", SUBSTITUTE(C4, ".", "~", B5+1))), C4, LEFT(C4, FIND("~", SUBSTITUTE(C4, ".", "~", B5+1)) - 1)))-LEN(SUBSTITUTE(IF(ISERROR(FIND("~", SUBSTITUTE(C4, ".", "~", B5+1))), C4, LEFT(C4, FIND("~", SUBSTITUTE(C4, ".", "~", B5+1)) - 1)), ".", ""))))+1, 100)+1)))</f>
      </c>
      <c r="D5" s="13" t="s">
        <v>38</v>
      </c>
      <c r="E5" s="6" t="s">
        <v>33</v>
      </c>
      <c r="F5" s="7">
        <v>46155.91666666667</v>
      </c>
      <c r="G5" s="7">
        <v>46160.91666666667</v>
      </c>
      <c r="H5" s="6">
        <v>0</v>
      </c>
      <c r="I5" s="6" t="s">
        <v>34</v>
      </c>
      <c r="J5" s="8"/>
      <c r="K5" s="8"/>
      <c r="L5" s="12"/>
      <c r="M5" s="12"/>
      <c r="N5" s="9"/>
      <c r="O5" s="10"/>
      <c r="P5" s="10"/>
      <c r="Q5" s="10"/>
      <c r="R5" s="10"/>
      <c r="S5" s="11"/>
      <c r="T5" s="12"/>
      <c r="U5" s="12"/>
      <c r="V5" s="12"/>
      <c r="W5" s="12"/>
      <c r="X5" s="8"/>
      <c r="Y5" s="8"/>
      <c r="Z5" s="12"/>
      <c r="AA5" s="12"/>
      <c r="AB5" s="12"/>
      <c r="AC5" s="12"/>
      <c r="AD5" s="12"/>
    </row>
    <row r="6" ht="24" customHeight="1" spans="1:30" x14ac:dyDescent="0.25">
      <c r="A6" t="s">
        <v>39</v>
      </c>
      <c r="B6">
        <v>1</v>
      </c>
      <c r="C6" s="4">
        <f>IF(B6 &gt; B5, C5 &amp; ".1", IF(ISERROR(FIND("~", SUBSTITUTE(IF(ISERROR(FIND("~", SUBSTITUTE(C5, ".", "~", B6+1))), C5, LEFT(C5, FIND("~", SUBSTITUTE(C5, ".", "~", B6+1)) - 1)), ".", "~", LEN(IF(ISERROR(FIND("~", SUBSTITUTE(C5, ".", "~", B6+1))), C5, LEFT(C5, FIND("~", SUBSTITUTE(C5, ".", "~", B6+1)) - 1)))-LEN(SUBSTITUTE(IF(ISERROR(FIND("~", SUBSTITUTE(C5, ".", "~", B6+1))), C5, LEFT(C5, FIND("~", SUBSTITUTE(C5, ".", "~", B6+1)) - 1)), ".", ""))))), IF(ISERROR(FIND("~", SUBSTITUTE(C5, ".", "~", B6+1))), C5, LEFT(C5, FIND("~", SUBSTITUTE(C5, ".", "~", B6+1)) - 1))+1, LEFT(IF(ISERROR(FIND("~", SUBSTITUTE(C5, ".", "~", B6+1))), C5, LEFT(C5, FIND("~", SUBSTITUTE(C5, ".", "~", B6+1)) - 1)), FIND("~", SUBSTITUTE(IF(ISERROR(FIND("~", SUBSTITUTE(C5, ".", "~", B6+1))), C5, LEFT(C5, FIND("~", SUBSTITUTE(C5, ".", "~", B6+1)) - 1)), ".", "~", LEN(IF(ISERROR(FIND("~", SUBSTITUTE(C5, ".", "~", B6+1))), C5, LEFT(C5, FIND("~", SUBSTITUTE(C5, ".", "~", B6+1)) - 1)))-LEN(SUBSTITUTE(IF(ISERROR(FIND("~", SUBSTITUTE(C5, ".", "~", B6+1))), C5, LEFT(C5, FIND("~", SUBSTITUTE(C5, ".", "~", B6+1)) - 1)), ".", ""))))) &amp; (MID(IF(ISERROR(FIND("~", SUBSTITUTE(C5, ".", "~", B6+1))), C5, LEFT(C5, FIND("~", SUBSTITUTE(C5, ".", "~", B6+1)) - 1)), FIND("~", SUBSTITUTE(IF(ISERROR(FIND("~", SUBSTITUTE(C5, ".", "~", B6+1))), C5, LEFT(C5, FIND("~", SUBSTITUTE(C5, ".", "~", B6+1)) - 1)), ".", "~", LEN(IF(ISERROR(FIND("~", SUBSTITUTE(C5, ".", "~", B6+1))), C5, LEFT(C5, FIND("~", SUBSTITUTE(C5, ".", "~", B6+1)) - 1)))-LEN(SUBSTITUTE(IF(ISERROR(FIND("~", SUBSTITUTE(C5, ".", "~", B6+1))), C5, LEFT(C5, FIND("~", SUBSTITUTE(C5, ".", "~", B6+1)) - 1)), ".", ""))))+1, 100)+1)))</f>
      </c>
      <c r="D6" s="13" t="s">
        <v>40</v>
      </c>
      <c r="E6" s="6" t="s">
        <v>33</v>
      </c>
      <c r="F6" s="7">
        <v>46160.91666666667</v>
      </c>
      <c r="G6" s="7">
        <v>46167</v>
      </c>
      <c r="H6" s="6">
        <v>0</v>
      </c>
      <c r="I6" s="6" t="s">
        <v>34</v>
      </c>
      <c r="J6" s="8"/>
      <c r="K6" s="8"/>
      <c r="L6" s="12"/>
      <c r="M6" s="12"/>
      <c r="N6" s="12"/>
      <c r="O6" s="12"/>
      <c r="P6" s="12"/>
      <c r="Q6" s="8"/>
      <c r="R6" s="8"/>
      <c r="S6" s="9"/>
      <c r="T6" s="10"/>
      <c r="U6" s="10"/>
      <c r="V6" s="10"/>
      <c r="W6" s="10"/>
      <c r="X6" s="10"/>
      <c r="Y6" s="11"/>
      <c r="Z6" s="12"/>
      <c r="AA6" s="12"/>
      <c r="AB6" s="12"/>
      <c r="AC6" s="12"/>
      <c r="AD6" s="12"/>
    </row>
    <row r="7" ht="24" customHeight="1" spans="1:30" x14ac:dyDescent="0.25">
      <c r="A7" t="s">
        <v>41</v>
      </c>
      <c r="B7">
        <v>0</v>
      </c>
      <c r="C7" s="4">
        <f>IF(B7 &gt; B6, C6 &amp; ".1", IF(ISERROR(FIND("~", SUBSTITUTE(IF(ISERROR(FIND("~", SUBSTITUTE(C6, ".", "~", B7+1))), C6, LEFT(C6, FIND("~", SUBSTITUTE(C6, ".", "~", B7+1)) - 1)), ".", "~", LEN(IF(ISERROR(FIND("~", SUBSTITUTE(C6, ".", "~", B7+1))), C6, LEFT(C6, FIND("~", SUBSTITUTE(C6, ".", "~", B7+1)) - 1)))-LEN(SUBSTITUTE(IF(ISERROR(FIND("~", SUBSTITUTE(C6, ".", "~", B7+1))), C6, LEFT(C6, FIND("~", SUBSTITUTE(C6, ".", "~", B7+1)) - 1)), ".", ""))))), IF(ISERROR(FIND("~", SUBSTITUTE(C6, ".", "~", B7+1))), C6, LEFT(C6, FIND("~", SUBSTITUTE(C6, ".", "~", B7+1)) - 1))+1, LEFT(IF(ISERROR(FIND("~", SUBSTITUTE(C6, ".", "~", B7+1))), C6, LEFT(C6, FIND("~", SUBSTITUTE(C6, ".", "~", B7+1)) - 1)), FIND("~", SUBSTITUTE(IF(ISERROR(FIND("~", SUBSTITUTE(C6, ".", "~", B7+1))), C6, LEFT(C6, FIND("~", SUBSTITUTE(C6, ".", "~", B7+1)) - 1)), ".", "~", LEN(IF(ISERROR(FIND("~", SUBSTITUTE(C6, ".", "~", B7+1))), C6, LEFT(C6, FIND("~", SUBSTITUTE(C6, ".", "~", B7+1)) - 1)))-LEN(SUBSTITUTE(IF(ISERROR(FIND("~", SUBSTITUTE(C6, ".", "~", B7+1))), C6, LEFT(C6, FIND("~", SUBSTITUTE(C6, ".", "~", B7+1)) - 1)), ".", ""))))) &amp; (MID(IF(ISERROR(FIND("~", SUBSTITUTE(C6, ".", "~", B7+1))), C6, LEFT(C6, FIND("~", SUBSTITUTE(C6, ".", "~", B7+1)) - 1)), FIND("~", SUBSTITUTE(IF(ISERROR(FIND("~", SUBSTITUTE(C6, ".", "~", B7+1))), C6, LEFT(C6, FIND("~", SUBSTITUTE(C6, ".", "~", B7+1)) - 1)), ".", "~", LEN(IF(ISERROR(FIND("~", SUBSTITUTE(C6, ".", "~", B7+1))), C6, LEFT(C6, FIND("~", SUBSTITUTE(C6, ".", "~", B7+1)) - 1)))-LEN(SUBSTITUTE(IF(ISERROR(FIND("~", SUBSTITUTE(C6, ".", "~", B7+1))), C6, LEFT(C6, FIND("~", SUBSTITUTE(C6, ".", "~", B7+1)) - 1)), ".", ""))))+1, 100)+1)))</f>
      </c>
      <c r="D7" s="5" t="s">
        <v>42</v>
      </c>
      <c r="E7" s="6" t="s">
        <v>33</v>
      </c>
      <c r="F7" s="7">
        <f>MIN(F8:F10)</f>
      </c>
      <c r="G7" s="7">
        <f>MAX(G8:G10)</f>
      </c>
      <c r="H7" s="6">
        <v>0</v>
      </c>
      <c r="I7" s="6" t="s">
        <v>34</v>
      </c>
      <c r="J7" s="8"/>
      <c r="K7" s="8"/>
      <c r="L7" s="14"/>
      <c r="M7" s="15"/>
      <c r="N7" s="15"/>
      <c r="O7" s="15"/>
      <c r="P7" s="15"/>
      <c r="Q7" s="16"/>
      <c r="R7" s="8"/>
      <c r="S7" s="12"/>
      <c r="T7" s="12"/>
      <c r="U7" s="12"/>
      <c r="V7" s="12"/>
      <c r="W7" s="12"/>
      <c r="X7" s="8"/>
      <c r="Y7" s="8"/>
      <c r="Z7" s="12"/>
      <c r="AA7" s="12"/>
      <c r="AB7" s="12"/>
      <c r="AC7" s="12"/>
      <c r="AD7" s="12"/>
    </row>
    <row r="8" ht="24" customHeight="1" spans="1:30" x14ac:dyDescent="0.25">
      <c r="A8" t="s">
        <v>43</v>
      </c>
      <c r="B8">
        <v>1</v>
      </c>
      <c r="C8" s="4">
        <f>IF(B8 &gt; B7, C7 &amp; ".1", IF(ISERROR(FIND("~", SUBSTITUTE(IF(ISERROR(FIND("~", SUBSTITUTE(C7, ".", "~", B8+1))), C7, LEFT(C7, FIND("~", SUBSTITUTE(C7, ".", "~", B8+1)) - 1)), ".", "~", LEN(IF(ISERROR(FIND("~", SUBSTITUTE(C7, ".", "~", B8+1))), C7, LEFT(C7, FIND("~", SUBSTITUTE(C7, ".", "~", B8+1)) - 1)))-LEN(SUBSTITUTE(IF(ISERROR(FIND("~", SUBSTITUTE(C7, ".", "~", B8+1))), C7, LEFT(C7, FIND("~", SUBSTITUTE(C7, ".", "~", B8+1)) - 1)), ".", ""))))), IF(ISERROR(FIND("~", SUBSTITUTE(C7, ".", "~", B8+1))), C7, LEFT(C7, FIND("~", SUBSTITUTE(C7, ".", "~", B8+1)) - 1))+1, LEFT(IF(ISERROR(FIND("~", SUBSTITUTE(C7, ".", "~", B8+1))), C7, LEFT(C7, FIND("~", SUBSTITUTE(C7, ".", "~", B8+1)) - 1)), FIND("~", SUBSTITUTE(IF(ISERROR(FIND("~", SUBSTITUTE(C7, ".", "~", B8+1))), C7, LEFT(C7, FIND("~", SUBSTITUTE(C7, ".", "~", B8+1)) - 1)), ".", "~", LEN(IF(ISERROR(FIND("~", SUBSTITUTE(C7, ".", "~", B8+1))), C7, LEFT(C7, FIND("~", SUBSTITUTE(C7, ".", "~", B8+1)) - 1)))-LEN(SUBSTITUTE(IF(ISERROR(FIND("~", SUBSTITUTE(C7, ".", "~", B8+1))), C7, LEFT(C7, FIND("~", SUBSTITUTE(C7, ".", "~", B8+1)) - 1)), ".", ""))))) &amp; (MID(IF(ISERROR(FIND("~", SUBSTITUTE(C7, ".", "~", B8+1))), C7, LEFT(C7, FIND("~", SUBSTITUTE(C7, ".", "~", B8+1)) - 1)), FIND("~", SUBSTITUTE(IF(ISERROR(FIND("~", SUBSTITUTE(C7, ".", "~", B8+1))), C7, LEFT(C7, FIND("~", SUBSTITUTE(C7, ".", "~", B8+1)) - 1)), ".", "~", LEN(IF(ISERROR(FIND("~", SUBSTITUTE(C7, ".", "~", B8+1))), C7, LEFT(C7, FIND("~", SUBSTITUTE(C7, ".", "~", B8+1)) - 1)))-LEN(SUBSTITUTE(IF(ISERROR(FIND("~", SUBSTITUTE(C7, ".", "~", B8+1))), C7, LEFT(C7, FIND("~", SUBSTITUTE(C7, ".", "~", B8+1)) - 1)), ".", ""))))+1, 100)+1)))</f>
      </c>
      <c r="D8" s="13" t="s">
        <v>44</v>
      </c>
      <c r="E8" s="6" t="s">
        <v>33</v>
      </c>
      <c r="F8" s="7">
        <v>46153.91666666667</v>
      </c>
      <c r="G8" s="7">
        <v>46155.91666666667</v>
      </c>
      <c r="H8" s="6">
        <v>0</v>
      </c>
      <c r="I8" s="6" t="s">
        <v>34</v>
      </c>
      <c r="J8" s="8"/>
      <c r="K8" s="8"/>
      <c r="L8" s="14"/>
      <c r="M8" s="15"/>
      <c r="N8" s="16"/>
      <c r="O8" s="12"/>
      <c r="P8" s="12"/>
      <c r="Q8" s="8"/>
      <c r="R8" s="8"/>
      <c r="S8" s="12"/>
      <c r="T8" s="12"/>
      <c r="U8" s="12"/>
      <c r="V8" s="12"/>
      <c r="W8" s="12"/>
      <c r="X8" s="8"/>
      <c r="Y8" s="8"/>
      <c r="Z8" s="12"/>
      <c r="AA8" s="12"/>
      <c r="AB8" s="12"/>
      <c r="AC8" s="12"/>
      <c r="AD8" s="12"/>
    </row>
    <row r="9" ht="24" customHeight="1" spans="1:30" x14ac:dyDescent="0.25">
      <c r="A9" t="s">
        <v>45</v>
      </c>
      <c r="B9">
        <v>1</v>
      </c>
      <c r="C9" s="4">
        <f>IF(B9 &gt; B8, C8 &amp; ".1", IF(ISERROR(FIND("~", SUBSTITUTE(IF(ISERROR(FIND("~", SUBSTITUTE(C8, ".", "~", B9+1))), C8, LEFT(C8, FIND("~", SUBSTITUTE(C8, ".", "~", B9+1)) - 1)), ".", "~", LEN(IF(ISERROR(FIND("~", SUBSTITUTE(C8, ".", "~", B9+1))), C8, LEFT(C8, FIND("~", SUBSTITUTE(C8, ".", "~", B9+1)) - 1)))-LEN(SUBSTITUTE(IF(ISERROR(FIND("~", SUBSTITUTE(C8, ".", "~", B9+1))), C8, LEFT(C8, FIND("~", SUBSTITUTE(C8, ".", "~", B9+1)) - 1)), ".", ""))))), IF(ISERROR(FIND("~", SUBSTITUTE(C8, ".", "~", B9+1))), C8, LEFT(C8, FIND("~", SUBSTITUTE(C8, ".", "~", B9+1)) - 1))+1, LEFT(IF(ISERROR(FIND("~", SUBSTITUTE(C8, ".", "~", B9+1))), C8, LEFT(C8, FIND("~", SUBSTITUTE(C8, ".", "~", B9+1)) - 1)), FIND("~", SUBSTITUTE(IF(ISERROR(FIND("~", SUBSTITUTE(C8, ".", "~", B9+1))), C8, LEFT(C8, FIND("~", SUBSTITUTE(C8, ".", "~", B9+1)) - 1)), ".", "~", LEN(IF(ISERROR(FIND("~", SUBSTITUTE(C8, ".", "~", B9+1))), C8, LEFT(C8, FIND("~", SUBSTITUTE(C8, ".", "~", B9+1)) - 1)))-LEN(SUBSTITUTE(IF(ISERROR(FIND("~", SUBSTITUTE(C8, ".", "~", B9+1))), C8, LEFT(C8, FIND("~", SUBSTITUTE(C8, ".", "~", B9+1)) - 1)), ".", ""))))) &amp; (MID(IF(ISERROR(FIND("~", SUBSTITUTE(C8, ".", "~", B9+1))), C8, LEFT(C8, FIND("~", SUBSTITUTE(C8, ".", "~", B9+1)) - 1)), FIND("~", SUBSTITUTE(IF(ISERROR(FIND("~", SUBSTITUTE(C8, ".", "~", B9+1))), C8, LEFT(C8, FIND("~", SUBSTITUTE(C8, ".", "~", B9+1)) - 1)), ".", "~", LEN(IF(ISERROR(FIND("~", SUBSTITUTE(C8, ".", "~", B9+1))), C8, LEFT(C8, FIND("~", SUBSTITUTE(C8, ".", "~", B9+1)) - 1)))-LEN(SUBSTITUTE(IF(ISERROR(FIND("~", SUBSTITUTE(C8, ".", "~", B9+1))), C8, LEFT(C8, FIND("~", SUBSTITUTE(C8, ".", "~", B9+1)) - 1)), ".", ""))))+1, 100)+1)))</f>
      </c>
      <c r="D9" s="13" t="s">
        <v>46</v>
      </c>
      <c r="E9" s="6" t="s">
        <v>33</v>
      </c>
      <c r="F9" s="7">
        <v>46155.91666666667</v>
      </c>
      <c r="G9" s="7">
        <v>46158.91666666667</v>
      </c>
      <c r="H9" s="6">
        <v>0</v>
      </c>
      <c r="I9" s="6" t="s">
        <v>34</v>
      </c>
      <c r="J9" s="8"/>
      <c r="K9" s="8"/>
      <c r="L9" s="12"/>
      <c r="M9" s="12"/>
      <c r="N9" s="14"/>
      <c r="O9" s="15"/>
      <c r="P9" s="15"/>
      <c r="Q9" s="16"/>
      <c r="R9" s="8"/>
      <c r="S9" s="12"/>
      <c r="T9" s="12"/>
      <c r="U9" s="12"/>
      <c r="V9" s="12"/>
      <c r="W9" s="12"/>
      <c r="X9" s="8"/>
      <c r="Y9" s="8"/>
      <c r="Z9" s="12"/>
      <c r="AA9" s="12"/>
      <c r="AB9" s="12"/>
      <c r="AC9" s="12"/>
      <c r="AD9" s="12"/>
    </row>
    <row r="10" ht="24" customHeight="1" spans="1:30" x14ac:dyDescent="0.25">
      <c r="A10" t="s">
        <v>47</v>
      </c>
      <c r="B10">
        <v>1</v>
      </c>
      <c r="C10" s="4">
        <f>IF(B10 &gt; B9, C9 &amp; ".1", IF(ISERROR(FIND("~", SUBSTITUTE(IF(ISERROR(FIND("~", SUBSTITUTE(C9, ".", "~", B10+1))), C9, LEFT(C9, FIND("~", SUBSTITUTE(C9, ".", "~", B10+1)) - 1)), ".", "~", LEN(IF(ISERROR(FIND("~", SUBSTITUTE(C9, ".", "~", B10+1))), C9, LEFT(C9, FIND("~", SUBSTITUTE(C9, ".", "~", B10+1)) - 1)))-LEN(SUBSTITUTE(IF(ISERROR(FIND("~", SUBSTITUTE(C9, ".", "~", B10+1))), C9, LEFT(C9, FIND("~", SUBSTITUTE(C9, ".", "~", B10+1)) - 1)), ".", ""))))), IF(ISERROR(FIND("~", SUBSTITUTE(C9, ".", "~", B10+1))), C9, LEFT(C9, FIND("~", SUBSTITUTE(C9, ".", "~", B10+1)) - 1))+1, LEFT(IF(ISERROR(FIND("~", SUBSTITUTE(C9, ".", "~", B10+1))), C9, LEFT(C9, FIND("~", SUBSTITUTE(C9, ".", "~", B10+1)) - 1)), FIND("~", SUBSTITUTE(IF(ISERROR(FIND("~", SUBSTITUTE(C9, ".", "~", B10+1))), C9, LEFT(C9, FIND("~", SUBSTITUTE(C9, ".", "~", B10+1)) - 1)), ".", "~", LEN(IF(ISERROR(FIND("~", SUBSTITUTE(C9, ".", "~", B10+1))), C9, LEFT(C9, FIND("~", SUBSTITUTE(C9, ".", "~", B10+1)) - 1)))-LEN(SUBSTITUTE(IF(ISERROR(FIND("~", SUBSTITUTE(C9, ".", "~", B10+1))), C9, LEFT(C9, FIND("~", SUBSTITUTE(C9, ".", "~", B10+1)) - 1)), ".", ""))))) &amp; (MID(IF(ISERROR(FIND("~", SUBSTITUTE(C9, ".", "~", B10+1))), C9, LEFT(C9, FIND("~", SUBSTITUTE(C9, ".", "~", B10+1)) - 1)), FIND("~", SUBSTITUTE(IF(ISERROR(FIND("~", SUBSTITUTE(C9, ".", "~", B10+1))), C9, LEFT(C9, FIND("~", SUBSTITUTE(C9, ".", "~", B10+1)) - 1)), ".", "~", LEN(IF(ISERROR(FIND("~", SUBSTITUTE(C9, ".", "~", B10+1))), C9, LEFT(C9, FIND("~", SUBSTITUTE(C9, ".", "~", B10+1)) - 1)))-LEN(SUBSTITUTE(IF(ISERROR(FIND("~", SUBSTITUTE(C9, ".", "~", B10+1))), C9, LEFT(C9, FIND("~", SUBSTITUTE(C9, ".", "~", B10+1)) - 1)), ".", ""))))+1, 100)+1)))</f>
      </c>
      <c r="D10" s="13" t="s">
        <v>48</v>
      </c>
      <c r="E10" s="6" t="s">
        <v>33</v>
      </c>
      <c r="F10" s="7">
        <v>46155.91666666667</v>
      </c>
      <c r="G10" s="7">
        <v>46158.91666666667</v>
      </c>
      <c r="H10" s="6">
        <v>0</v>
      </c>
      <c r="I10" s="6" t="s">
        <v>34</v>
      </c>
      <c r="J10" s="8"/>
      <c r="K10" s="8"/>
      <c r="L10" s="12"/>
      <c r="M10" s="12"/>
      <c r="N10" s="14"/>
      <c r="O10" s="15"/>
      <c r="P10" s="15"/>
      <c r="Q10" s="16"/>
      <c r="R10" s="8"/>
      <c r="S10" s="12"/>
      <c r="T10" s="12"/>
      <c r="U10" s="12"/>
      <c r="V10" s="12"/>
      <c r="W10" s="12"/>
      <c r="X10" s="8"/>
      <c r="Y10" s="8"/>
      <c r="Z10" s="12"/>
      <c r="AA10" s="12"/>
      <c r="AB10" s="12"/>
      <c r="AC10" s="12"/>
      <c r="AD10" s="12"/>
    </row>
    <row r="11" ht="24" customHeight="1" spans="1:30" x14ac:dyDescent="0.25">
      <c r="A11" t="s">
        <v>49</v>
      </c>
      <c r="B11">
        <v>0</v>
      </c>
      <c r="C11" s="4">
        <f>IF(B11 &gt; B10, C10 &amp; ".1", IF(ISERROR(FIND("~", SUBSTITUTE(IF(ISERROR(FIND("~", SUBSTITUTE(C10, ".", "~", B11+1))), C10, LEFT(C10, FIND("~", SUBSTITUTE(C10, ".", "~", B11+1)) - 1)), ".", "~", LEN(IF(ISERROR(FIND("~", SUBSTITUTE(C10, ".", "~", B11+1))), C10, LEFT(C10, FIND("~", SUBSTITUTE(C10, ".", "~", B11+1)) - 1)))-LEN(SUBSTITUTE(IF(ISERROR(FIND("~", SUBSTITUTE(C10, ".", "~", B11+1))), C10, LEFT(C10, FIND("~", SUBSTITUTE(C10, ".", "~", B11+1)) - 1)), ".", ""))))), IF(ISERROR(FIND("~", SUBSTITUTE(C10, ".", "~", B11+1))), C10, LEFT(C10, FIND("~", SUBSTITUTE(C10, ".", "~", B11+1)) - 1))+1, LEFT(IF(ISERROR(FIND("~", SUBSTITUTE(C10, ".", "~", B11+1))), C10, LEFT(C10, FIND("~", SUBSTITUTE(C10, ".", "~", B11+1)) - 1)), FIND("~", SUBSTITUTE(IF(ISERROR(FIND("~", SUBSTITUTE(C10, ".", "~", B11+1))), C10, LEFT(C10, FIND("~", SUBSTITUTE(C10, ".", "~", B11+1)) - 1)), ".", "~", LEN(IF(ISERROR(FIND("~", SUBSTITUTE(C10, ".", "~", B11+1))), C10, LEFT(C10, FIND("~", SUBSTITUTE(C10, ".", "~", B11+1)) - 1)))-LEN(SUBSTITUTE(IF(ISERROR(FIND("~", SUBSTITUTE(C10, ".", "~", B11+1))), C10, LEFT(C10, FIND("~", SUBSTITUTE(C10, ".", "~", B11+1)) - 1)), ".", ""))))) &amp; (MID(IF(ISERROR(FIND("~", SUBSTITUTE(C10, ".", "~", B11+1))), C10, LEFT(C10, FIND("~", SUBSTITUTE(C10, ".", "~", B11+1)) - 1)), FIND("~", SUBSTITUTE(IF(ISERROR(FIND("~", SUBSTITUTE(C10, ".", "~", B11+1))), C10, LEFT(C10, FIND("~", SUBSTITUTE(C10, ".", "~", B11+1)) - 1)), ".", "~", LEN(IF(ISERROR(FIND("~", SUBSTITUTE(C10, ".", "~", B11+1))), C10, LEFT(C10, FIND("~", SUBSTITUTE(C10, ".", "~", B11+1)) - 1)))-LEN(SUBSTITUTE(IF(ISERROR(FIND("~", SUBSTITUTE(C10, ".", "~", B11+1))), C10, LEFT(C10, FIND("~", SUBSTITUTE(C10, ".", "~", B11+1)) - 1)), ".", ""))))+1, 100)+1)))</f>
      </c>
      <c r="D11" s="5" t="s">
        <v>50</v>
      </c>
      <c r="E11" s="6" t="s">
        <v>33</v>
      </c>
      <c r="F11" s="7">
        <f>MIN(F12:F17)</f>
      </c>
      <c r="G11" s="7">
        <f>MAX(G12:G17)</f>
      </c>
      <c r="H11" s="6">
        <v>0</v>
      </c>
      <c r="I11" s="6" t="s">
        <v>34</v>
      </c>
      <c r="J11" s="8"/>
      <c r="K11" s="8"/>
      <c r="L11" s="17"/>
      <c r="M11" s="18"/>
      <c r="N11" s="18"/>
      <c r="O11" s="18"/>
      <c r="P11" s="18"/>
      <c r="Q11" s="18"/>
      <c r="R11" s="18"/>
      <c r="S11" s="18"/>
      <c r="T11" s="19"/>
      <c r="U11" s="12"/>
      <c r="V11" s="12"/>
      <c r="W11" s="12"/>
      <c r="X11" s="8"/>
      <c r="Y11" s="8"/>
      <c r="Z11" s="12"/>
      <c r="AA11" s="12"/>
      <c r="AB11" s="12"/>
      <c r="AC11" s="12"/>
      <c r="AD11" s="12"/>
    </row>
    <row r="12" ht="24" customHeight="1" spans="1:30" x14ac:dyDescent="0.25">
      <c r="A12" t="s">
        <v>51</v>
      </c>
      <c r="B12">
        <v>1</v>
      </c>
      <c r="C12" s="4">
        <f>IF(B12 &gt; B11, C11 &amp; ".1", IF(ISERROR(FIND("~", SUBSTITUTE(IF(ISERROR(FIND("~", SUBSTITUTE(C11, ".", "~", B12+1))), C11, LEFT(C11, FIND("~", SUBSTITUTE(C11, ".", "~", B12+1)) - 1)), ".", "~", LEN(IF(ISERROR(FIND("~", SUBSTITUTE(C11, ".", "~", B12+1))), C11, LEFT(C11, FIND("~", SUBSTITUTE(C11, ".", "~", B12+1)) - 1)))-LEN(SUBSTITUTE(IF(ISERROR(FIND("~", SUBSTITUTE(C11, ".", "~", B12+1))), C11, LEFT(C11, FIND("~", SUBSTITUTE(C11, ".", "~", B12+1)) - 1)), ".", ""))))), IF(ISERROR(FIND("~", SUBSTITUTE(C11, ".", "~", B12+1))), C11, LEFT(C11, FIND("~", SUBSTITUTE(C11, ".", "~", B12+1)) - 1))+1, LEFT(IF(ISERROR(FIND("~", SUBSTITUTE(C11, ".", "~", B12+1))), C11, LEFT(C11, FIND("~", SUBSTITUTE(C11, ".", "~", B12+1)) - 1)), FIND("~", SUBSTITUTE(IF(ISERROR(FIND("~", SUBSTITUTE(C11, ".", "~", B12+1))), C11, LEFT(C11, FIND("~", SUBSTITUTE(C11, ".", "~", B12+1)) - 1)), ".", "~", LEN(IF(ISERROR(FIND("~", SUBSTITUTE(C11, ".", "~", B12+1))), C11, LEFT(C11, FIND("~", SUBSTITUTE(C11, ".", "~", B12+1)) - 1)))-LEN(SUBSTITUTE(IF(ISERROR(FIND("~", SUBSTITUTE(C11, ".", "~", B12+1))), C11, LEFT(C11, FIND("~", SUBSTITUTE(C11, ".", "~", B12+1)) - 1)), ".", ""))))) &amp; (MID(IF(ISERROR(FIND("~", SUBSTITUTE(C11, ".", "~", B12+1))), C11, LEFT(C11, FIND("~", SUBSTITUTE(C11, ".", "~", B12+1)) - 1)), FIND("~", SUBSTITUTE(IF(ISERROR(FIND("~", SUBSTITUTE(C11, ".", "~", B12+1))), C11, LEFT(C11, FIND("~", SUBSTITUTE(C11, ".", "~", B12+1)) - 1)), ".", "~", LEN(IF(ISERROR(FIND("~", SUBSTITUTE(C11, ".", "~", B12+1))), C11, LEFT(C11, FIND("~", SUBSTITUTE(C11, ".", "~", B12+1)) - 1)))-LEN(SUBSTITUTE(IF(ISERROR(FIND("~", SUBSTITUTE(C11, ".", "~", B12+1))), C11, LEFT(C11, FIND("~", SUBSTITUTE(C11, ".", "~", B12+1)) - 1)), ".", ""))))+1, 100)+1)))</f>
      </c>
      <c r="D12" s="13" t="s">
        <v>52</v>
      </c>
      <c r="E12" s="6" t="s">
        <v>33</v>
      </c>
      <c r="F12" s="7">
        <v>46153.91666666667</v>
      </c>
      <c r="G12" s="7">
        <v>46154.91666666667</v>
      </c>
      <c r="H12" s="6">
        <v>0</v>
      </c>
      <c r="I12" s="6" t="s">
        <v>34</v>
      </c>
      <c r="J12" s="8"/>
      <c r="K12" s="8"/>
      <c r="L12" s="17"/>
      <c r="M12" s="19"/>
      <c r="N12" s="12"/>
      <c r="O12" s="12"/>
      <c r="P12" s="12"/>
      <c r="Q12" s="8"/>
      <c r="R12" s="8"/>
      <c r="S12" s="12"/>
      <c r="T12" s="12"/>
      <c r="U12" s="12"/>
      <c r="V12" s="12"/>
      <c r="W12" s="12"/>
      <c r="X12" s="8"/>
      <c r="Y12" s="8"/>
      <c r="Z12" s="12"/>
      <c r="AA12" s="12"/>
      <c r="AB12" s="12"/>
      <c r="AC12" s="12"/>
      <c r="AD12" s="12"/>
    </row>
    <row r="13" ht="24" customHeight="1" spans="1:30" x14ac:dyDescent="0.25">
      <c r="A13" t="s">
        <v>53</v>
      </c>
      <c r="B13">
        <v>1</v>
      </c>
      <c r="C13" s="4">
        <f>IF(B13 &gt; B12, C12 &amp; ".1", IF(ISERROR(FIND("~", SUBSTITUTE(IF(ISERROR(FIND("~", SUBSTITUTE(C12, ".", "~", B13+1))), C12, LEFT(C12, FIND("~", SUBSTITUTE(C12, ".", "~", B13+1)) - 1)), ".", "~", LEN(IF(ISERROR(FIND("~", SUBSTITUTE(C12, ".", "~", B13+1))), C12, LEFT(C12, FIND("~", SUBSTITUTE(C12, ".", "~", B13+1)) - 1)))-LEN(SUBSTITUTE(IF(ISERROR(FIND("~", SUBSTITUTE(C12, ".", "~", B13+1))), C12, LEFT(C12, FIND("~", SUBSTITUTE(C12, ".", "~", B13+1)) - 1)), ".", ""))))), IF(ISERROR(FIND("~", SUBSTITUTE(C12, ".", "~", B13+1))), C12, LEFT(C12, FIND("~", SUBSTITUTE(C12, ".", "~", B13+1)) - 1))+1, LEFT(IF(ISERROR(FIND("~", SUBSTITUTE(C12, ".", "~", B13+1))), C12, LEFT(C12, FIND("~", SUBSTITUTE(C12, ".", "~", B13+1)) - 1)), FIND("~", SUBSTITUTE(IF(ISERROR(FIND("~", SUBSTITUTE(C12, ".", "~", B13+1))), C12, LEFT(C12, FIND("~", SUBSTITUTE(C12, ".", "~", B13+1)) - 1)), ".", "~", LEN(IF(ISERROR(FIND("~", SUBSTITUTE(C12, ".", "~", B13+1))), C12, LEFT(C12, FIND("~", SUBSTITUTE(C12, ".", "~", B13+1)) - 1)))-LEN(SUBSTITUTE(IF(ISERROR(FIND("~", SUBSTITUTE(C12, ".", "~", B13+1))), C12, LEFT(C12, FIND("~", SUBSTITUTE(C12, ".", "~", B13+1)) - 1)), ".", ""))))) &amp; (MID(IF(ISERROR(FIND("~", SUBSTITUTE(C12, ".", "~", B13+1))), C12, LEFT(C12, FIND("~", SUBSTITUTE(C12, ".", "~", B13+1)) - 1)), FIND("~", SUBSTITUTE(IF(ISERROR(FIND("~", SUBSTITUTE(C12, ".", "~", B13+1))), C12, LEFT(C12, FIND("~", SUBSTITUTE(C12, ".", "~", B13+1)) - 1)), ".", "~", LEN(IF(ISERROR(FIND("~", SUBSTITUTE(C12, ".", "~", B13+1))), C12, LEFT(C12, FIND("~", SUBSTITUTE(C12, ".", "~", B13+1)) - 1)))-LEN(SUBSTITUTE(IF(ISERROR(FIND("~", SUBSTITUTE(C12, ".", "~", B13+1))), C12, LEFT(C12, FIND("~", SUBSTITUTE(C12, ".", "~", B13+1)) - 1)), ".", ""))))+1, 100)+1)))</f>
      </c>
      <c r="D13" s="13" t="s">
        <v>54</v>
      </c>
      <c r="E13" s="6" t="s">
        <v>33</v>
      </c>
      <c r="F13" s="7">
        <v>46154.91666666667</v>
      </c>
      <c r="G13" s="7">
        <v>46156.91666666667</v>
      </c>
      <c r="H13" s="6">
        <v>0</v>
      </c>
      <c r="I13" s="6" t="s">
        <v>34</v>
      </c>
      <c r="J13" s="8"/>
      <c r="K13" s="8"/>
      <c r="L13" s="12"/>
      <c r="M13" s="17"/>
      <c r="N13" s="18"/>
      <c r="O13" s="19"/>
      <c r="P13" s="12"/>
      <c r="Q13" s="8"/>
      <c r="R13" s="8"/>
      <c r="S13" s="12"/>
      <c r="T13" s="12"/>
      <c r="U13" s="12"/>
      <c r="V13" s="12"/>
      <c r="W13" s="12"/>
      <c r="X13" s="8"/>
      <c r="Y13" s="8"/>
      <c r="Z13" s="12"/>
      <c r="AA13" s="12"/>
      <c r="AB13" s="12"/>
      <c r="AC13" s="12"/>
      <c r="AD13" s="12"/>
    </row>
    <row r="14" ht="24" customHeight="1" spans="1:30" x14ac:dyDescent="0.25">
      <c r="A14" t="s">
        <v>55</v>
      </c>
      <c r="B14">
        <v>1</v>
      </c>
      <c r="C14" s="4">
        <f>IF(B14 &gt; B13, C13 &amp; ".1", IF(ISERROR(FIND("~", SUBSTITUTE(IF(ISERROR(FIND("~", SUBSTITUTE(C13, ".", "~", B14+1))), C13, LEFT(C13, FIND("~", SUBSTITUTE(C13, ".", "~", B14+1)) - 1)), ".", "~", LEN(IF(ISERROR(FIND("~", SUBSTITUTE(C13, ".", "~", B14+1))), C13, LEFT(C13, FIND("~", SUBSTITUTE(C13, ".", "~", B14+1)) - 1)))-LEN(SUBSTITUTE(IF(ISERROR(FIND("~", SUBSTITUTE(C13, ".", "~", B14+1))), C13, LEFT(C13, FIND("~", SUBSTITUTE(C13, ".", "~", B14+1)) - 1)), ".", ""))))), IF(ISERROR(FIND("~", SUBSTITUTE(C13, ".", "~", B14+1))), C13, LEFT(C13, FIND("~", SUBSTITUTE(C13, ".", "~", B14+1)) - 1))+1, LEFT(IF(ISERROR(FIND("~", SUBSTITUTE(C13, ".", "~", B14+1))), C13, LEFT(C13, FIND("~", SUBSTITUTE(C13, ".", "~", B14+1)) - 1)), FIND("~", SUBSTITUTE(IF(ISERROR(FIND("~", SUBSTITUTE(C13, ".", "~", B14+1))), C13, LEFT(C13, FIND("~", SUBSTITUTE(C13, ".", "~", B14+1)) - 1)), ".", "~", LEN(IF(ISERROR(FIND("~", SUBSTITUTE(C13, ".", "~", B14+1))), C13, LEFT(C13, FIND("~", SUBSTITUTE(C13, ".", "~", B14+1)) - 1)))-LEN(SUBSTITUTE(IF(ISERROR(FIND("~", SUBSTITUTE(C13, ".", "~", B14+1))), C13, LEFT(C13, FIND("~", SUBSTITUTE(C13, ".", "~", B14+1)) - 1)), ".", ""))))) &amp; (MID(IF(ISERROR(FIND("~", SUBSTITUTE(C13, ".", "~", B14+1))), C13, LEFT(C13, FIND("~", SUBSTITUTE(C13, ".", "~", B14+1)) - 1)), FIND("~", SUBSTITUTE(IF(ISERROR(FIND("~", SUBSTITUTE(C13, ".", "~", B14+1))), C13, LEFT(C13, FIND("~", SUBSTITUTE(C13, ".", "~", B14+1)) - 1)), ".", "~", LEN(IF(ISERROR(FIND("~", SUBSTITUTE(C13, ".", "~", B14+1))), C13, LEFT(C13, FIND("~", SUBSTITUTE(C13, ".", "~", B14+1)) - 1)))-LEN(SUBSTITUTE(IF(ISERROR(FIND("~", SUBSTITUTE(C13, ".", "~", B14+1))), C13, LEFT(C13, FIND("~", SUBSTITUTE(C13, ".", "~", B14+1)) - 1)), ".", ""))))+1, 100)+1)))</f>
      </c>
      <c r="D14" s="13" t="s">
        <v>56</v>
      </c>
      <c r="E14" s="6" t="s">
        <v>33</v>
      </c>
      <c r="F14" s="7">
        <v>46154.91666666667</v>
      </c>
      <c r="G14" s="7">
        <v>46156.91666666667</v>
      </c>
      <c r="H14" s="6">
        <v>0</v>
      </c>
      <c r="I14" s="6" t="s">
        <v>34</v>
      </c>
      <c r="J14" s="8"/>
      <c r="K14" s="8"/>
      <c r="L14" s="12"/>
      <c r="M14" s="17"/>
      <c r="N14" s="18"/>
      <c r="O14" s="19"/>
      <c r="P14" s="12"/>
      <c r="Q14" s="8"/>
      <c r="R14" s="8"/>
      <c r="S14" s="12"/>
      <c r="T14" s="12"/>
      <c r="U14" s="12"/>
      <c r="V14" s="12"/>
      <c r="W14" s="12"/>
      <c r="X14" s="8"/>
      <c r="Y14" s="8"/>
      <c r="Z14" s="12"/>
      <c r="AA14" s="12"/>
      <c r="AB14" s="12"/>
      <c r="AC14" s="12"/>
      <c r="AD14" s="12"/>
    </row>
    <row r="15" ht="24" customHeight="1" spans="1:30" x14ac:dyDescent="0.25">
      <c r="A15" t="s">
        <v>57</v>
      </c>
      <c r="B15">
        <v>1</v>
      </c>
      <c r="C15" s="4">
        <f>IF(B15 &gt; B14, C14 &amp; ".1", IF(ISERROR(FIND("~", SUBSTITUTE(IF(ISERROR(FIND("~", SUBSTITUTE(C14, ".", "~", B15+1))), C14, LEFT(C14, FIND("~", SUBSTITUTE(C14, ".", "~", B15+1)) - 1)), ".", "~", LEN(IF(ISERROR(FIND("~", SUBSTITUTE(C14, ".", "~", B15+1))), C14, LEFT(C14, FIND("~", SUBSTITUTE(C14, ".", "~", B15+1)) - 1)))-LEN(SUBSTITUTE(IF(ISERROR(FIND("~", SUBSTITUTE(C14, ".", "~", B15+1))), C14, LEFT(C14, FIND("~", SUBSTITUTE(C14, ".", "~", B15+1)) - 1)), ".", ""))))), IF(ISERROR(FIND("~", SUBSTITUTE(C14, ".", "~", B15+1))), C14, LEFT(C14, FIND("~", SUBSTITUTE(C14, ".", "~", B15+1)) - 1))+1, LEFT(IF(ISERROR(FIND("~", SUBSTITUTE(C14, ".", "~", B15+1))), C14, LEFT(C14, FIND("~", SUBSTITUTE(C14, ".", "~", B15+1)) - 1)), FIND("~", SUBSTITUTE(IF(ISERROR(FIND("~", SUBSTITUTE(C14, ".", "~", B15+1))), C14, LEFT(C14, FIND("~", SUBSTITUTE(C14, ".", "~", B15+1)) - 1)), ".", "~", LEN(IF(ISERROR(FIND("~", SUBSTITUTE(C14, ".", "~", B15+1))), C14, LEFT(C14, FIND("~", SUBSTITUTE(C14, ".", "~", B15+1)) - 1)))-LEN(SUBSTITUTE(IF(ISERROR(FIND("~", SUBSTITUTE(C14, ".", "~", B15+1))), C14, LEFT(C14, FIND("~", SUBSTITUTE(C14, ".", "~", B15+1)) - 1)), ".", ""))))) &amp; (MID(IF(ISERROR(FIND("~", SUBSTITUTE(C14, ".", "~", B15+1))), C14, LEFT(C14, FIND("~", SUBSTITUTE(C14, ".", "~", B15+1)) - 1)), FIND("~", SUBSTITUTE(IF(ISERROR(FIND("~", SUBSTITUTE(C14, ".", "~", B15+1))), C14, LEFT(C14, FIND("~", SUBSTITUTE(C14, ".", "~", B15+1)) - 1)), ".", "~", LEN(IF(ISERROR(FIND("~", SUBSTITUTE(C14, ".", "~", B15+1))), C14, LEFT(C14, FIND("~", SUBSTITUTE(C14, ".", "~", B15+1)) - 1)))-LEN(SUBSTITUTE(IF(ISERROR(FIND("~", SUBSTITUTE(C14, ".", "~", B15+1))), C14, LEFT(C14, FIND("~", SUBSTITUTE(C14, ".", "~", B15+1)) - 1)), ".", ""))))+1, 100)+1)))</f>
      </c>
      <c r="D15" s="13" t="s">
        <v>58</v>
      </c>
      <c r="E15" s="6" t="s">
        <v>33</v>
      </c>
      <c r="F15" s="7">
        <v>46154.91666666667</v>
      </c>
      <c r="G15" s="7">
        <v>46157.91666666667</v>
      </c>
      <c r="H15" s="6">
        <v>0</v>
      </c>
      <c r="I15" s="6" t="s">
        <v>34</v>
      </c>
      <c r="J15" s="8"/>
      <c r="K15" s="8"/>
      <c r="L15" s="12"/>
      <c r="M15" s="17"/>
      <c r="N15" s="18"/>
      <c r="O15" s="18"/>
      <c r="P15" s="19"/>
      <c r="Q15" s="8"/>
      <c r="R15" s="8"/>
      <c r="S15" s="12"/>
      <c r="T15" s="12"/>
      <c r="U15" s="12"/>
      <c r="V15" s="12"/>
      <c r="W15" s="12"/>
      <c r="X15" s="8"/>
      <c r="Y15" s="8"/>
      <c r="Z15" s="12"/>
      <c r="AA15" s="12"/>
      <c r="AB15" s="12"/>
      <c r="AC15" s="12"/>
      <c r="AD15" s="12"/>
    </row>
    <row r="16" ht="24" customHeight="1" spans="1:30" x14ac:dyDescent="0.25">
      <c r="A16" t="s">
        <v>59</v>
      </c>
      <c r="B16">
        <v>1</v>
      </c>
      <c r="C16" s="4">
        <f>IF(B16 &gt; B15, C15 &amp; ".1", IF(ISERROR(FIND("~", SUBSTITUTE(IF(ISERROR(FIND("~", SUBSTITUTE(C15, ".", "~", B16+1))), C15, LEFT(C15, FIND("~", SUBSTITUTE(C15, ".", "~", B16+1)) - 1)), ".", "~", LEN(IF(ISERROR(FIND("~", SUBSTITUTE(C15, ".", "~", B16+1))), C15, LEFT(C15, FIND("~", SUBSTITUTE(C15, ".", "~", B16+1)) - 1)))-LEN(SUBSTITUTE(IF(ISERROR(FIND("~", SUBSTITUTE(C15, ".", "~", B16+1))), C15, LEFT(C15, FIND("~", SUBSTITUTE(C15, ".", "~", B16+1)) - 1)), ".", ""))))), IF(ISERROR(FIND("~", SUBSTITUTE(C15, ".", "~", B16+1))), C15, LEFT(C15, FIND("~", SUBSTITUTE(C15, ".", "~", B16+1)) - 1))+1, LEFT(IF(ISERROR(FIND("~", SUBSTITUTE(C15, ".", "~", B16+1))), C15, LEFT(C15, FIND("~", SUBSTITUTE(C15, ".", "~", B16+1)) - 1)), FIND("~", SUBSTITUTE(IF(ISERROR(FIND("~", SUBSTITUTE(C15, ".", "~", B16+1))), C15, LEFT(C15, FIND("~", SUBSTITUTE(C15, ".", "~", B16+1)) - 1)), ".", "~", LEN(IF(ISERROR(FIND("~", SUBSTITUTE(C15, ".", "~", B16+1))), C15, LEFT(C15, FIND("~", SUBSTITUTE(C15, ".", "~", B16+1)) - 1)))-LEN(SUBSTITUTE(IF(ISERROR(FIND("~", SUBSTITUTE(C15, ".", "~", B16+1))), C15, LEFT(C15, FIND("~", SUBSTITUTE(C15, ".", "~", B16+1)) - 1)), ".", ""))))) &amp; (MID(IF(ISERROR(FIND("~", SUBSTITUTE(C15, ".", "~", B16+1))), C15, LEFT(C15, FIND("~", SUBSTITUTE(C15, ".", "~", B16+1)) - 1)), FIND("~", SUBSTITUTE(IF(ISERROR(FIND("~", SUBSTITUTE(C15, ".", "~", B16+1))), C15, LEFT(C15, FIND("~", SUBSTITUTE(C15, ".", "~", B16+1)) - 1)), ".", "~", LEN(IF(ISERROR(FIND("~", SUBSTITUTE(C15, ".", "~", B16+1))), C15, LEFT(C15, FIND("~", SUBSTITUTE(C15, ".", "~", B16+1)) - 1)))-LEN(SUBSTITUTE(IF(ISERROR(FIND("~", SUBSTITUTE(C15, ".", "~", B16+1))), C15, LEFT(C15, FIND("~", SUBSTITUTE(C15, ".", "~", B16+1)) - 1)), ".", ""))))+1, 100)+1)))</f>
      </c>
      <c r="D16" s="13" t="s">
        <v>60</v>
      </c>
      <c r="E16" s="6" t="s">
        <v>33</v>
      </c>
      <c r="F16" s="7">
        <v>46157.91666666667</v>
      </c>
      <c r="G16" s="7">
        <v>46161.91666666667</v>
      </c>
      <c r="H16" s="6">
        <v>0</v>
      </c>
      <c r="I16" s="6" t="s">
        <v>34</v>
      </c>
      <c r="J16" s="8"/>
      <c r="K16" s="8"/>
      <c r="L16" s="12"/>
      <c r="M16" s="12"/>
      <c r="N16" s="12"/>
      <c r="O16" s="12"/>
      <c r="P16" s="17"/>
      <c r="Q16" s="18"/>
      <c r="R16" s="18"/>
      <c r="S16" s="18"/>
      <c r="T16" s="19"/>
      <c r="U16" s="12"/>
      <c r="V16" s="12"/>
      <c r="W16" s="12"/>
      <c r="X16" s="8"/>
      <c r="Y16" s="8"/>
      <c r="Z16" s="12"/>
      <c r="AA16" s="12"/>
      <c r="AB16" s="12"/>
      <c r="AC16" s="12"/>
      <c r="AD16" s="12"/>
    </row>
    <row r="17" ht="24" customHeight="1" spans="1:30" x14ac:dyDescent="0.25">
      <c r="A17" t="s">
        <v>61</v>
      </c>
      <c r="B17">
        <v>1</v>
      </c>
      <c r="C17" s="4">
        <f>IF(B17 &gt; B16, C16 &amp; ".1", IF(ISERROR(FIND("~", SUBSTITUTE(IF(ISERROR(FIND("~", SUBSTITUTE(C16, ".", "~", B17+1))), C16, LEFT(C16, FIND("~", SUBSTITUTE(C16, ".", "~", B17+1)) - 1)), ".", "~", LEN(IF(ISERROR(FIND("~", SUBSTITUTE(C16, ".", "~", B17+1))), C16, LEFT(C16, FIND("~", SUBSTITUTE(C16, ".", "~", B17+1)) - 1)))-LEN(SUBSTITUTE(IF(ISERROR(FIND("~", SUBSTITUTE(C16, ".", "~", B17+1))), C16, LEFT(C16, FIND("~", SUBSTITUTE(C16, ".", "~", B17+1)) - 1)), ".", ""))))), IF(ISERROR(FIND("~", SUBSTITUTE(C16, ".", "~", B17+1))), C16, LEFT(C16, FIND("~", SUBSTITUTE(C16, ".", "~", B17+1)) - 1))+1, LEFT(IF(ISERROR(FIND("~", SUBSTITUTE(C16, ".", "~", B17+1))), C16, LEFT(C16, FIND("~", SUBSTITUTE(C16, ".", "~", B17+1)) - 1)), FIND("~", SUBSTITUTE(IF(ISERROR(FIND("~", SUBSTITUTE(C16, ".", "~", B17+1))), C16, LEFT(C16, FIND("~", SUBSTITUTE(C16, ".", "~", B17+1)) - 1)), ".", "~", LEN(IF(ISERROR(FIND("~", SUBSTITUTE(C16, ".", "~", B17+1))), C16, LEFT(C16, FIND("~", SUBSTITUTE(C16, ".", "~", B17+1)) - 1)))-LEN(SUBSTITUTE(IF(ISERROR(FIND("~", SUBSTITUTE(C16, ".", "~", B17+1))), C16, LEFT(C16, FIND("~", SUBSTITUTE(C16, ".", "~", B17+1)) - 1)), ".", ""))))) &amp; (MID(IF(ISERROR(FIND("~", SUBSTITUTE(C16, ".", "~", B17+1))), C16, LEFT(C16, FIND("~", SUBSTITUTE(C16, ".", "~", B17+1)) - 1)), FIND("~", SUBSTITUTE(IF(ISERROR(FIND("~", SUBSTITUTE(C16, ".", "~", B17+1))), C16, LEFT(C16, FIND("~", SUBSTITUTE(C16, ".", "~", B17+1)) - 1)), ".", "~", LEN(IF(ISERROR(FIND("~", SUBSTITUTE(C16, ".", "~", B17+1))), C16, LEFT(C16, FIND("~", SUBSTITUTE(C16, ".", "~", B17+1)) - 1)))-LEN(SUBSTITUTE(IF(ISERROR(FIND("~", SUBSTITUTE(C16, ".", "~", B17+1))), C16, LEFT(C16, FIND("~", SUBSTITUTE(C16, ".", "~", B17+1)) - 1)), ".", ""))))+1, 100)+1)))</f>
      </c>
      <c r="D17" s="13" t="s">
        <v>62</v>
      </c>
      <c r="E17" s="6" t="s">
        <v>33</v>
      </c>
      <c r="F17" s="7">
        <v>46157.91666666667</v>
      </c>
      <c r="G17" s="7">
        <v>46160.91666666667</v>
      </c>
      <c r="H17" s="6">
        <v>0</v>
      </c>
      <c r="I17" s="6" t="s">
        <v>34</v>
      </c>
      <c r="J17" s="8"/>
      <c r="K17" s="8"/>
      <c r="L17" s="12"/>
      <c r="M17" s="12"/>
      <c r="N17" s="12"/>
      <c r="O17" s="12"/>
      <c r="P17" s="17"/>
      <c r="Q17" s="18"/>
      <c r="R17" s="18"/>
      <c r="S17" s="19"/>
      <c r="T17" s="12"/>
      <c r="U17" s="12"/>
      <c r="V17" s="12"/>
      <c r="W17" s="12"/>
      <c r="X17" s="8"/>
      <c r="Y17" s="8"/>
      <c r="Z17" s="12"/>
      <c r="AA17" s="12"/>
      <c r="AB17" s="12"/>
      <c r="AC17" s="12"/>
      <c r="AD17" s="12"/>
    </row>
    <row r="18" ht="24" customHeight="1" spans="1:30" x14ac:dyDescent="0.25">
      <c r="A18" t="s">
        <v>63</v>
      </c>
      <c r="B18">
        <v>0</v>
      </c>
      <c r="C18" s="4">
        <f>IF(B18 &gt; B17, C17 &amp; ".1", IF(ISERROR(FIND("~", SUBSTITUTE(IF(ISERROR(FIND("~", SUBSTITUTE(C17, ".", "~", B18+1))), C17, LEFT(C17, FIND("~", SUBSTITUTE(C17, ".", "~", B18+1)) - 1)), ".", "~", LEN(IF(ISERROR(FIND("~", SUBSTITUTE(C17, ".", "~", B18+1))), C17, LEFT(C17, FIND("~", SUBSTITUTE(C17, ".", "~", B18+1)) - 1)))-LEN(SUBSTITUTE(IF(ISERROR(FIND("~", SUBSTITUTE(C17, ".", "~", B18+1))), C17, LEFT(C17, FIND("~", SUBSTITUTE(C17, ".", "~", B18+1)) - 1)), ".", ""))))), IF(ISERROR(FIND("~", SUBSTITUTE(C17, ".", "~", B18+1))), C17, LEFT(C17, FIND("~", SUBSTITUTE(C17, ".", "~", B18+1)) - 1))+1, LEFT(IF(ISERROR(FIND("~", SUBSTITUTE(C17, ".", "~", B18+1))), C17, LEFT(C17, FIND("~", SUBSTITUTE(C17, ".", "~", B18+1)) - 1)), FIND("~", SUBSTITUTE(IF(ISERROR(FIND("~", SUBSTITUTE(C17, ".", "~", B18+1))), C17, LEFT(C17, FIND("~", SUBSTITUTE(C17, ".", "~", B18+1)) - 1)), ".", "~", LEN(IF(ISERROR(FIND("~", SUBSTITUTE(C17, ".", "~", B18+1))), C17, LEFT(C17, FIND("~", SUBSTITUTE(C17, ".", "~", B18+1)) - 1)))-LEN(SUBSTITUTE(IF(ISERROR(FIND("~", SUBSTITUTE(C17, ".", "~", B18+1))), C17, LEFT(C17, FIND("~", SUBSTITUTE(C17, ".", "~", B18+1)) - 1)), ".", ""))))) &amp; (MID(IF(ISERROR(FIND("~", SUBSTITUTE(C17, ".", "~", B18+1))), C17, LEFT(C17, FIND("~", SUBSTITUTE(C17, ".", "~", B18+1)) - 1)), FIND("~", SUBSTITUTE(IF(ISERROR(FIND("~", SUBSTITUTE(C17, ".", "~", B18+1))), C17, LEFT(C17, FIND("~", SUBSTITUTE(C17, ".", "~", B18+1)) - 1)), ".", "~", LEN(IF(ISERROR(FIND("~", SUBSTITUTE(C17, ".", "~", B18+1))), C17, LEFT(C17, FIND("~", SUBSTITUTE(C17, ".", "~", B18+1)) - 1)))-LEN(SUBSTITUTE(IF(ISERROR(FIND("~", SUBSTITUTE(C17, ".", "~", B18+1))), C17, LEFT(C17, FIND("~", SUBSTITUTE(C17, ".", "~", B18+1)) - 1)), ".", ""))))+1, 100)+1)))</f>
      </c>
      <c r="D18" s="5" t="s">
        <v>64</v>
      </c>
      <c r="E18" s="6" t="s">
        <v>33</v>
      </c>
      <c r="F18" s="7">
        <f>MIN(F19:F19)</f>
      </c>
      <c r="G18" s="7">
        <f>MAX(G19:G19)</f>
      </c>
      <c r="H18" s="6">
        <v>100</v>
      </c>
      <c r="I18" s="6" t="s">
        <v>65</v>
      </c>
      <c r="J18" s="8"/>
      <c r="K18" s="8"/>
      <c r="L18" s="20"/>
      <c r="M18" s="21"/>
      <c r="N18" s="21"/>
      <c r="O18" s="22"/>
      <c r="P18" s="12"/>
      <c r="Q18" s="8"/>
      <c r="R18" s="8"/>
      <c r="S18" s="12"/>
      <c r="T18" s="12"/>
      <c r="U18" s="12"/>
      <c r="V18" s="12"/>
      <c r="W18" s="12"/>
      <c r="X18" s="8"/>
      <c r="Y18" s="8"/>
      <c r="Z18" s="12"/>
      <c r="AA18" s="12"/>
      <c r="AB18" s="12"/>
      <c r="AC18" s="12"/>
      <c r="AD18" s="12"/>
    </row>
    <row r="19" ht="24" customHeight="1" spans="1:30" x14ac:dyDescent="0.25">
      <c r="A19" t="s">
        <v>66</v>
      </c>
      <c r="B19">
        <v>1</v>
      </c>
      <c r="C19" s="4">
        <f>IF(B19 &gt; B18, C18 &amp; ".1", IF(ISERROR(FIND("~", SUBSTITUTE(IF(ISERROR(FIND("~", SUBSTITUTE(C18, ".", "~", B19+1))), C18, LEFT(C18, FIND("~", SUBSTITUTE(C18, ".", "~", B19+1)) - 1)), ".", "~", LEN(IF(ISERROR(FIND("~", SUBSTITUTE(C18, ".", "~", B19+1))), C18, LEFT(C18, FIND("~", SUBSTITUTE(C18, ".", "~", B19+1)) - 1)))-LEN(SUBSTITUTE(IF(ISERROR(FIND("~", SUBSTITUTE(C18, ".", "~", B19+1))), C18, LEFT(C18, FIND("~", SUBSTITUTE(C18, ".", "~", B19+1)) - 1)), ".", ""))))), IF(ISERROR(FIND("~", SUBSTITUTE(C18, ".", "~", B19+1))), C18, LEFT(C18, FIND("~", SUBSTITUTE(C18, ".", "~", B19+1)) - 1))+1, LEFT(IF(ISERROR(FIND("~", SUBSTITUTE(C18, ".", "~", B19+1))), C18, LEFT(C18, FIND("~", SUBSTITUTE(C18, ".", "~", B19+1)) - 1)), FIND("~", SUBSTITUTE(IF(ISERROR(FIND("~", SUBSTITUTE(C18, ".", "~", B19+1))), C18, LEFT(C18, FIND("~", SUBSTITUTE(C18, ".", "~", B19+1)) - 1)), ".", "~", LEN(IF(ISERROR(FIND("~", SUBSTITUTE(C18, ".", "~", B19+1))), C18, LEFT(C18, FIND("~", SUBSTITUTE(C18, ".", "~", B19+1)) - 1)))-LEN(SUBSTITUTE(IF(ISERROR(FIND("~", SUBSTITUTE(C18, ".", "~", B19+1))), C18, LEFT(C18, FIND("~", SUBSTITUTE(C18, ".", "~", B19+1)) - 1)), ".", ""))))) &amp; (MID(IF(ISERROR(FIND("~", SUBSTITUTE(C18, ".", "~", B19+1))), C18, LEFT(C18, FIND("~", SUBSTITUTE(C18, ".", "~", B19+1)) - 1)), FIND("~", SUBSTITUTE(IF(ISERROR(FIND("~", SUBSTITUTE(C18, ".", "~", B19+1))), C18, LEFT(C18, FIND("~", SUBSTITUTE(C18, ".", "~", B19+1)) - 1)), ".", "~", LEN(IF(ISERROR(FIND("~", SUBSTITUTE(C18, ".", "~", B19+1))), C18, LEFT(C18, FIND("~", SUBSTITUTE(C18, ".", "~", B19+1)) - 1)))-LEN(SUBSTITUTE(IF(ISERROR(FIND("~", SUBSTITUTE(C18, ".", "~", B19+1))), C18, LEFT(C18, FIND("~", SUBSTITUTE(C18, ".", "~", B19+1)) - 1)), ".", ""))))+1, 100)+1)))</f>
      </c>
      <c r="D19" s="13" t="s">
        <v>67</v>
      </c>
      <c r="E19" s="6" t="s">
        <v>33</v>
      </c>
      <c r="F19" s="7">
        <v>46153.91666666667</v>
      </c>
      <c r="G19" s="7">
        <v>46156.91666666667</v>
      </c>
      <c r="H19" s="6">
        <v>100</v>
      </c>
      <c r="I19" s="6" t="s">
        <v>65</v>
      </c>
      <c r="J19" s="8"/>
      <c r="K19" s="8"/>
      <c r="L19" s="20"/>
      <c r="M19" s="21"/>
      <c r="N19" s="21"/>
      <c r="O19" s="22"/>
      <c r="P19" s="12"/>
      <c r="Q19" s="8"/>
      <c r="R19" s="8"/>
      <c r="S19" s="12"/>
      <c r="T19" s="12"/>
      <c r="U19" s="12"/>
      <c r="V19" s="12"/>
      <c r="W19" s="12"/>
      <c r="X19" s="8"/>
      <c r="Y19" s="8"/>
      <c r="Z19" s="12"/>
      <c r="AA19" s="12"/>
      <c r="AB19" s="12"/>
      <c r="AC19" s="12"/>
      <c r="AD19" s="12"/>
    </row>
    <row r="20" ht="24" customHeight="1" spans="1:30" x14ac:dyDescent="0.25">
      <c r="A20" t="s">
        <v>68</v>
      </c>
      <c r="B20">
        <v>0</v>
      </c>
      <c r="C20" s="4">
        <f>IF(B20 &gt; B19, C19 &amp; ".1", IF(ISERROR(FIND("~", SUBSTITUTE(IF(ISERROR(FIND("~", SUBSTITUTE(C19, ".", "~", B20+1))), C19, LEFT(C19, FIND("~", SUBSTITUTE(C19, ".", "~", B20+1)) - 1)), ".", "~", LEN(IF(ISERROR(FIND("~", SUBSTITUTE(C19, ".", "~", B20+1))), C19, LEFT(C19, FIND("~", SUBSTITUTE(C19, ".", "~", B20+1)) - 1)))-LEN(SUBSTITUTE(IF(ISERROR(FIND("~", SUBSTITUTE(C19, ".", "~", B20+1))), C19, LEFT(C19, FIND("~", SUBSTITUTE(C19, ".", "~", B20+1)) - 1)), ".", ""))))), IF(ISERROR(FIND("~", SUBSTITUTE(C19, ".", "~", B20+1))), C19, LEFT(C19, FIND("~", SUBSTITUTE(C19, ".", "~", B20+1)) - 1))+1, LEFT(IF(ISERROR(FIND("~", SUBSTITUTE(C19, ".", "~", B20+1))), C19, LEFT(C19, FIND("~", SUBSTITUTE(C19, ".", "~", B20+1)) - 1)), FIND("~", SUBSTITUTE(IF(ISERROR(FIND("~", SUBSTITUTE(C19, ".", "~", B20+1))), C19, LEFT(C19, FIND("~", SUBSTITUTE(C19, ".", "~", B20+1)) - 1)), ".", "~", LEN(IF(ISERROR(FIND("~", SUBSTITUTE(C19, ".", "~", B20+1))), C19, LEFT(C19, FIND("~", SUBSTITUTE(C19, ".", "~", B20+1)) - 1)))-LEN(SUBSTITUTE(IF(ISERROR(FIND("~", SUBSTITUTE(C19, ".", "~", B20+1))), C19, LEFT(C19, FIND("~", SUBSTITUTE(C19, ".", "~", B20+1)) - 1)), ".", ""))))) &amp; (MID(IF(ISERROR(FIND("~", SUBSTITUTE(C19, ".", "~", B20+1))), C19, LEFT(C19, FIND("~", SUBSTITUTE(C19, ".", "~", B20+1)) - 1)), FIND("~", SUBSTITUTE(IF(ISERROR(FIND("~", SUBSTITUTE(C19, ".", "~", B20+1))), C19, LEFT(C19, FIND("~", SUBSTITUTE(C19, ".", "~", B20+1)) - 1)), ".", "~", LEN(IF(ISERROR(FIND("~", SUBSTITUTE(C19, ".", "~", B20+1))), C19, LEFT(C19, FIND("~", SUBSTITUTE(C19, ".", "~", B20+1)) - 1)))-LEN(SUBSTITUTE(IF(ISERROR(FIND("~", SUBSTITUTE(C19, ".", "~", B20+1))), C19, LEFT(C19, FIND("~", SUBSTITUTE(C19, ".", "~", B20+1)) - 1)), ".", ""))))+1, 100)+1)))</f>
      </c>
      <c r="D20" s="5" t="s">
        <v>69</v>
      </c>
      <c r="E20" s="6" t="s">
        <v>33</v>
      </c>
      <c r="F20" s="7">
        <f>MIN(F21:F22)</f>
      </c>
      <c r="G20" s="7">
        <f>MAX(G21:G22)</f>
      </c>
      <c r="H20" s="6">
        <v>13</v>
      </c>
      <c r="I20" s="6" t="s">
        <v>70</v>
      </c>
      <c r="J20" s="8"/>
      <c r="K20" s="8"/>
      <c r="L20" s="23"/>
      <c r="M20" s="24"/>
      <c r="N20" s="24"/>
      <c r="O20" s="24"/>
      <c r="P20" s="24"/>
      <c r="Q20" s="25"/>
      <c r="R20" s="8"/>
      <c r="S20" s="12"/>
      <c r="T20" s="12"/>
      <c r="U20" s="12"/>
      <c r="V20" s="12"/>
      <c r="W20" s="12"/>
      <c r="X20" s="8"/>
      <c r="Y20" s="8"/>
      <c r="Z20" s="12"/>
      <c r="AA20" s="12"/>
      <c r="AB20" s="12"/>
      <c r="AC20" s="12"/>
      <c r="AD20" s="12"/>
    </row>
    <row r="21" ht="24" customHeight="1" spans="1:30" x14ac:dyDescent="0.25">
      <c r="A21" t="s">
        <v>71</v>
      </c>
      <c r="B21">
        <v>1</v>
      </c>
      <c r="C21" s="4">
        <f>IF(B21 &gt; B20, C20 &amp; ".1", IF(ISERROR(FIND("~", SUBSTITUTE(IF(ISERROR(FIND("~", SUBSTITUTE(C20, ".", "~", B21+1))), C20, LEFT(C20, FIND("~", SUBSTITUTE(C20, ".", "~", B21+1)) - 1)), ".", "~", LEN(IF(ISERROR(FIND("~", SUBSTITUTE(C20, ".", "~", B21+1))), C20, LEFT(C20, FIND("~", SUBSTITUTE(C20, ".", "~", B21+1)) - 1)))-LEN(SUBSTITUTE(IF(ISERROR(FIND("~", SUBSTITUTE(C20, ".", "~", B21+1))), C20, LEFT(C20, FIND("~", SUBSTITUTE(C20, ".", "~", B21+1)) - 1)), ".", ""))))), IF(ISERROR(FIND("~", SUBSTITUTE(C20, ".", "~", B21+1))), C20, LEFT(C20, FIND("~", SUBSTITUTE(C20, ".", "~", B21+1)) - 1))+1, LEFT(IF(ISERROR(FIND("~", SUBSTITUTE(C20, ".", "~", B21+1))), C20, LEFT(C20, FIND("~", SUBSTITUTE(C20, ".", "~", B21+1)) - 1)), FIND("~", SUBSTITUTE(IF(ISERROR(FIND("~", SUBSTITUTE(C20, ".", "~", B21+1))), C20, LEFT(C20, FIND("~", SUBSTITUTE(C20, ".", "~", B21+1)) - 1)), ".", "~", LEN(IF(ISERROR(FIND("~", SUBSTITUTE(C20, ".", "~", B21+1))), C20, LEFT(C20, FIND("~", SUBSTITUTE(C20, ".", "~", B21+1)) - 1)))-LEN(SUBSTITUTE(IF(ISERROR(FIND("~", SUBSTITUTE(C20, ".", "~", B21+1))), C20, LEFT(C20, FIND("~", SUBSTITUTE(C20, ".", "~", B21+1)) - 1)), ".", ""))))) &amp; (MID(IF(ISERROR(FIND("~", SUBSTITUTE(C20, ".", "~", B21+1))), C20, LEFT(C20, FIND("~", SUBSTITUTE(C20, ".", "~", B21+1)) - 1)), FIND("~", SUBSTITUTE(IF(ISERROR(FIND("~", SUBSTITUTE(C20, ".", "~", B21+1))), C20, LEFT(C20, FIND("~", SUBSTITUTE(C20, ".", "~", B21+1)) - 1)), ".", "~", LEN(IF(ISERROR(FIND("~", SUBSTITUTE(C20, ".", "~", B21+1))), C20, LEFT(C20, FIND("~", SUBSTITUTE(C20, ".", "~", B21+1)) - 1)))-LEN(SUBSTITUTE(IF(ISERROR(FIND("~", SUBSTITUTE(C20, ".", "~", B21+1))), C20, LEFT(C20, FIND("~", SUBSTITUTE(C20, ".", "~", B21+1)) - 1)), ".", ""))))+1, 100)+1)))</f>
      </c>
      <c r="D21" s="13" t="s">
        <v>72</v>
      </c>
      <c r="E21" s="6" t="s">
        <v>33</v>
      </c>
      <c r="F21" s="7">
        <v>46153.91666666667</v>
      </c>
      <c r="G21" s="7">
        <v>46155.91666666667</v>
      </c>
      <c r="H21" s="6">
        <v>25</v>
      </c>
      <c r="I21" s="6" t="s">
        <v>70</v>
      </c>
      <c r="J21" s="8"/>
      <c r="K21" s="8"/>
      <c r="L21" s="23"/>
      <c r="M21" s="24"/>
      <c r="N21" s="25"/>
      <c r="O21" s="12"/>
      <c r="P21" s="12"/>
      <c r="Q21" s="8"/>
      <c r="R21" s="8"/>
      <c r="S21" s="12"/>
      <c r="T21" s="12"/>
      <c r="U21" s="12"/>
      <c r="V21" s="12"/>
      <c r="W21" s="12"/>
      <c r="X21" s="8"/>
      <c r="Y21" s="8"/>
      <c r="Z21" s="12"/>
      <c r="AA21" s="12"/>
      <c r="AB21" s="12"/>
      <c r="AC21" s="12"/>
      <c r="AD21" s="12"/>
    </row>
    <row r="22" ht="24" customHeight="1" spans="1:30" x14ac:dyDescent="0.25">
      <c r="A22" t="s">
        <v>73</v>
      </c>
      <c r="B22">
        <v>1</v>
      </c>
      <c r="C22" s="4">
        <f>IF(B22 &gt; B21, C21 &amp; ".1", IF(ISERROR(FIND("~", SUBSTITUTE(IF(ISERROR(FIND("~", SUBSTITUTE(C21, ".", "~", B22+1))), C21, LEFT(C21, FIND("~", SUBSTITUTE(C21, ".", "~", B22+1)) - 1)), ".", "~", LEN(IF(ISERROR(FIND("~", SUBSTITUTE(C21, ".", "~", B22+1))), C21, LEFT(C21, FIND("~", SUBSTITUTE(C21, ".", "~", B22+1)) - 1)))-LEN(SUBSTITUTE(IF(ISERROR(FIND("~", SUBSTITUTE(C21, ".", "~", B22+1))), C21, LEFT(C21, FIND("~", SUBSTITUTE(C21, ".", "~", B22+1)) - 1)), ".", ""))))), IF(ISERROR(FIND("~", SUBSTITUTE(C21, ".", "~", B22+1))), C21, LEFT(C21, FIND("~", SUBSTITUTE(C21, ".", "~", B22+1)) - 1))+1, LEFT(IF(ISERROR(FIND("~", SUBSTITUTE(C21, ".", "~", B22+1))), C21, LEFT(C21, FIND("~", SUBSTITUTE(C21, ".", "~", B22+1)) - 1)), FIND("~", SUBSTITUTE(IF(ISERROR(FIND("~", SUBSTITUTE(C21, ".", "~", B22+1))), C21, LEFT(C21, FIND("~", SUBSTITUTE(C21, ".", "~", B22+1)) - 1)), ".", "~", LEN(IF(ISERROR(FIND("~", SUBSTITUTE(C21, ".", "~", B22+1))), C21, LEFT(C21, FIND("~", SUBSTITUTE(C21, ".", "~", B22+1)) - 1)))-LEN(SUBSTITUTE(IF(ISERROR(FIND("~", SUBSTITUTE(C21, ".", "~", B22+1))), C21, LEFT(C21, FIND("~", SUBSTITUTE(C21, ".", "~", B22+1)) - 1)), ".", ""))))) &amp; (MID(IF(ISERROR(FIND("~", SUBSTITUTE(C21, ".", "~", B22+1))), C21, LEFT(C21, FIND("~", SUBSTITUTE(C21, ".", "~", B22+1)) - 1)), FIND("~", SUBSTITUTE(IF(ISERROR(FIND("~", SUBSTITUTE(C21, ".", "~", B22+1))), C21, LEFT(C21, FIND("~", SUBSTITUTE(C21, ".", "~", B22+1)) - 1)), ".", "~", LEN(IF(ISERROR(FIND("~", SUBSTITUTE(C21, ".", "~", B22+1))), C21, LEFT(C21, FIND("~", SUBSTITUTE(C21, ".", "~", B22+1)) - 1)))-LEN(SUBSTITUTE(IF(ISERROR(FIND("~", SUBSTITUTE(C21, ".", "~", B22+1))), C21, LEFT(C21, FIND("~", SUBSTITUTE(C21, ".", "~", B22+1)) - 1)), ".", ""))))+1, 100)+1)))</f>
      </c>
      <c r="D22" s="13" t="s">
        <v>74</v>
      </c>
      <c r="E22" s="6" t="s">
        <v>33</v>
      </c>
      <c r="F22" s="7">
        <v>46156.91666666667</v>
      </c>
      <c r="G22" s="7">
        <v>46158.91666666667</v>
      </c>
      <c r="H22" s="6">
        <v>0</v>
      </c>
      <c r="I22" s="6" t="s">
        <v>34</v>
      </c>
      <c r="J22" s="8"/>
      <c r="K22" s="8"/>
      <c r="L22" s="12"/>
      <c r="M22" s="12"/>
      <c r="N22" s="12"/>
      <c r="O22" s="23"/>
      <c r="P22" s="24"/>
      <c r="Q22" s="25"/>
      <c r="R22" s="8"/>
      <c r="S22" s="12"/>
      <c r="T22" s="12"/>
      <c r="U22" s="12"/>
      <c r="V22" s="12"/>
      <c r="W22" s="12"/>
      <c r="X22" s="8"/>
      <c r="Y22" s="8"/>
      <c r="Z22" s="12"/>
      <c r="AA22" s="12"/>
      <c r="AB22" s="12"/>
      <c r="AC22" s="12"/>
      <c r="AD22" s="12"/>
    </row>
    <row r="23" ht="24" customHeight="1" spans="1:30" x14ac:dyDescent="0.25">
      <c r="A23" t="s">
        <v>75</v>
      </c>
      <c r="B23">
        <v>0</v>
      </c>
      <c r="C23" s="4">
        <f>IF(B23 &gt; B22, C22 &amp; ".1", IF(ISERROR(FIND("~", SUBSTITUTE(IF(ISERROR(FIND("~", SUBSTITUTE(C22, ".", "~", B23+1))), C22, LEFT(C22, FIND("~", SUBSTITUTE(C22, ".", "~", B23+1)) - 1)), ".", "~", LEN(IF(ISERROR(FIND("~", SUBSTITUTE(C22, ".", "~", B23+1))), C22, LEFT(C22, FIND("~", SUBSTITUTE(C22, ".", "~", B23+1)) - 1)))-LEN(SUBSTITUTE(IF(ISERROR(FIND("~", SUBSTITUTE(C22, ".", "~", B23+1))), C22, LEFT(C22, FIND("~", SUBSTITUTE(C22, ".", "~", B23+1)) - 1)), ".", ""))))), IF(ISERROR(FIND("~", SUBSTITUTE(C22, ".", "~", B23+1))), C22, LEFT(C22, FIND("~", SUBSTITUTE(C22, ".", "~", B23+1)) - 1))+1, LEFT(IF(ISERROR(FIND("~", SUBSTITUTE(C22, ".", "~", B23+1))), C22, LEFT(C22, FIND("~", SUBSTITUTE(C22, ".", "~", B23+1)) - 1)), FIND("~", SUBSTITUTE(IF(ISERROR(FIND("~", SUBSTITUTE(C22, ".", "~", B23+1))), C22, LEFT(C22, FIND("~", SUBSTITUTE(C22, ".", "~", B23+1)) - 1)), ".", "~", LEN(IF(ISERROR(FIND("~", SUBSTITUTE(C22, ".", "~", B23+1))), C22, LEFT(C22, FIND("~", SUBSTITUTE(C22, ".", "~", B23+1)) - 1)))-LEN(SUBSTITUTE(IF(ISERROR(FIND("~", SUBSTITUTE(C22, ".", "~", B23+1))), C22, LEFT(C22, FIND("~", SUBSTITUTE(C22, ".", "~", B23+1)) - 1)), ".", ""))))) &amp; (MID(IF(ISERROR(FIND("~", SUBSTITUTE(C22, ".", "~", B23+1))), C22, LEFT(C22, FIND("~", SUBSTITUTE(C22, ".", "~", B23+1)) - 1)), FIND("~", SUBSTITUTE(IF(ISERROR(FIND("~", SUBSTITUTE(C22, ".", "~", B23+1))), C22, LEFT(C22, FIND("~", SUBSTITUTE(C22, ".", "~", B23+1)) - 1)), ".", "~", LEN(IF(ISERROR(FIND("~", SUBSTITUTE(C22, ".", "~", B23+1))), C22, LEFT(C22, FIND("~", SUBSTITUTE(C22, ".", "~", B23+1)) - 1)))-LEN(SUBSTITUTE(IF(ISERROR(FIND("~", SUBSTITUTE(C22, ".", "~", B23+1))), C22, LEFT(C22, FIND("~", SUBSTITUTE(C22, ".", "~", B23+1)) - 1)), ".", ""))))+1, 100)+1)))</f>
      </c>
      <c r="D23" s="5" t="s">
        <v>76</v>
      </c>
      <c r="E23" s="6" t="s">
        <v>33</v>
      </c>
      <c r="F23" s="7">
        <f>MIN(F24:F25)</f>
      </c>
      <c r="G23" s="7">
        <f>MAX(G24:G25)</f>
      </c>
      <c r="H23" s="6">
        <v>0</v>
      </c>
      <c r="I23" s="6" t="s">
        <v>34</v>
      </c>
      <c r="J23" s="8"/>
      <c r="K23" s="8"/>
      <c r="L23" s="26"/>
      <c r="M23" s="27"/>
      <c r="N23" s="27"/>
      <c r="O23" s="27"/>
      <c r="P23" s="27"/>
      <c r="Q23" s="27"/>
      <c r="R23" s="28"/>
      <c r="S23" s="12"/>
      <c r="T23" s="12"/>
      <c r="U23" s="12"/>
      <c r="V23" s="12"/>
      <c r="W23" s="12"/>
      <c r="X23" s="8"/>
      <c r="Y23" s="8"/>
      <c r="Z23" s="12"/>
      <c r="AA23" s="12"/>
      <c r="AB23" s="12"/>
      <c r="AC23" s="12"/>
      <c r="AD23" s="12"/>
    </row>
    <row r="24" ht="24" customHeight="1" spans="1:30" x14ac:dyDescent="0.25">
      <c r="A24" t="s">
        <v>77</v>
      </c>
      <c r="B24">
        <v>1</v>
      </c>
      <c r="C24" s="4">
        <f>IF(B24 &gt; B23, C23 &amp; ".1", IF(ISERROR(FIND("~", SUBSTITUTE(IF(ISERROR(FIND("~", SUBSTITUTE(C23, ".", "~", B24+1))), C23, LEFT(C23, FIND("~", SUBSTITUTE(C23, ".", "~", B24+1)) - 1)), ".", "~", LEN(IF(ISERROR(FIND("~", SUBSTITUTE(C23, ".", "~", B24+1))), C23, LEFT(C23, FIND("~", SUBSTITUTE(C23, ".", "~", B24+1)) - 1)))-LEN(SUBSTITUTE(IF(ISERROR(FIND("~", SUBSTITUTE(C23, ".", "~", B24+1))), C23, LEFT(C23, FIND("~", SUBSTITUTE(C23, ".", "~", B24+1)) - 1)), ".", ""))))), IF(ISERROR(FIND("~", SUBSTITUTE(C23, ".", "~", B24+1))), C23, LEFT(C23, FIND("~", SUBSTITUTE(C23, ".", "~", B24+1)) - 1))+1, LEFT(IF(ISERROR(FIND("~", SUBSTITUTE(C23, ".", "~", B24+1))), C23, LEFT(C23, FIND("~", SUBSTITUTE(C23, ".", "~", B24+1)) - 1)), FIND("~", SUBSTITUTE(IF(ISERROR(FIND("~", SUBSTITUTE(C23, ".", "~", B24+1))), C23, LEFT(C23, FIND("~", SUBSTITUTE(C23, ".", "~", B24+1)) - 1)), ".", "~", LEN(IF(ISERROR(FIND("~", SUBSTITUTE(C23, ".", "~", B24+1))), C23, LEFT(C23, FIND("~", SUBSTITUTE(C23, ".", "~", B24+1)) - 1)))-LEN(SUBSTITUTE(IF(ISERROR(FIND("~", SUBSTITUTE(C23, ".", "~", B24+1))), C23, LEFT(C23, FIND("~", SUBSTITUTE(C23, ".", "~", B24+1)) - 1)), ".", ""))))) &amp; (MID(IF(ISERROR(FIND("~", SUBSTITUTE(C23, ".", "~", B24+1))), C23, LEFT(C23, FIND("~", SUBSTITUTE(C23, ".", "~", B24+1)) - 1)), FIND("~", SUBSTITUTE(IF(ISERROR(FIND("~", SUBSTITUTE(C23, ".", "~", B24+1))), C23, LEFT(C23, FIND("~", SUBSTITUTE(C23, ".", "~", B24+1)) - 1)), ".", "~", LEN(IF(ISERROR(FIND("~", SUBSTITUTE(C23, ".", "~", B24+1))), C23, LEFT(C23, FIND("~", SUBSTITUTE(C23, ".", "~", B24+1)) - 1)))-LEN(SUBSTITUTE(IF(ISERROR(FIND("~", SUBSTITUTE(C23, ".", "~", B24+1))), C23, LEFT(C23, FIND("~", SUBSTITUTE(C23, ".", "~", B24+1)) - 1)), ".", ""))))+1, 100)+1)))</f>
      </c>
      <c r="D24" s="13" t="s">
        <v>78</v>
      </c>
      <c r="E24" s="6" t="s">
        <v>33</v>
      </c>
      <c r="F24" s="7">
        <v>46153.91666666667</v>
      </c>
      <c r="G24" s="7">
        <v>46156.91666666667</v>
      </c>
      <c r="H24" s="6">
        <v>0</v>
      </c>
      <c r="I24" s="6" t="s">
        <v>34</v>
      </c>
      <c r="J24" s="8"/>
      <c r="K24" s="8"/>
      <c r="L24" s="26"/>
      <c r="M24" s="27"/>
      <c r="N24" s="27"/>
      <c r="O24" s="28"/>
      <c r="P24" s="12"/>
      <c r="Q24" s="8"/>
      <c r="R24" s="8"/>
      <c r="S24" s="12"/>
      <c r="T24" s="12"/>
      <c r="U24" s="12"/>
      <c r="V24" s="12"/>
      <c r="W24" s="12"/>
      <c r="X24" s="8"/>
      <c r="Y24" s="8"/>
      <c r="Z24" s="12"/>
      <c r="AA24" s="12"/>
      <c r="AB24" s="12"/>
      <c r="AC24" s="12"/>
      <c r="AD24" s="12"/>
    </row>
    <row r="25" ht="24" customHeight="1" spans="1:30" x14ac:dyDescent="0.25">
      <c r="A25" t="s">
        <v>79</v>
      </c>
      <c r="B25">
        <v>1</v>
      </c>
      <c r="C25" s="4">
        <f>IF(B25 &gt; B24, C24 &amp; ".1", IF(ISERROR(FIND("~", SUBSTITUTE(IF(ISERROR(FIND("~", SUBSTITUTE(C24, ".", "~", B25+1))), C24, LEFT(C24, FIND("~", SUBSTITUTE(C24, ".", "~", B25+1)) - 1)), ".", "~", LEN(IF(ISERROR(FIND("~", SUBSTITUTE(C24, ".", "~", B25+1))), C24, LEFT(C24, FIND("~", SUBSTITUTE(C24, ".", "~", B25+1)) - 1)))-LEN(SUBSTITUTE(IF(ISERROR(FIND("~", SUBSTITUTE(C24, ".", "~", B25+1))), C24, LEFT(C24, FIND("~", SUBSTITUTE(C24, ".", "~", B25+1)) - 1)), ".", ""))))), IF(ISERROR(FIND("~", SUBSTITUTE(C24, ".", "~", B25+1))), C24, LEFT(C24, FIND("~", SUBSTITUTE(C24, ".", "~", B25+1)) - 1))+1, LEFT(IF(ISERROR(FIND("~", SUBSTITUTE(C24, ".", "~", B25+1))), C24, LEFT(C24, FIND("~", SUBSTITUTE(C24, ".", "~", B25+1)) - 1)), FIND("~", SUBSTITUTE(IF(ISERROR(FIND("~", SUBSTITUTE(C24, ".", "~", B25+1))), C24, LEFT(C24, FIND("~", SUBSTITUTE(C24, ".", "~", B25+1)) - 1)), ".", "~", LEN(IF(ISERROR(FIND("~", SUBSTITUTE(C24, ".", "~", B25+1))), C24, LEFT(C24, FIND("~", SUBSTITUTE(C24, ".", "~", B25+1)) - 1)))-LEN(SUBSTITUTE(IF(ISERROR(FIND("~", SUBSTITUTE(C24, ".", "~", B25+1))), C24, LEFT(C24, FIND("~", SUBSTITUTE(C24, ".", "~", B25+1)) - 1)), ".", ""))))) &amp; (MID(IF(ISERROR(FIND("~", SUBSTITUTE(C24, ".", "~", B25+1))), C24, LEFT(C24, FIND("~", SUBSTITUTE(C24, ".", "~", B25+1)) - 1)), FIND("~", SUBSTITUTE(IF(ISERROR(FIND("~", SUBSTITUTE(C24, ".", "~", B25+1))), C24, LEFT(C24, FIND("~", SUBSTITUTE(C24, ".", "~", B25+1)) - 1)), ".", "~", LEN(IF(ISERROR(FIND("~", SUBSTITUTE(C24, ".", "~", B25+1))), C24, LEFT(C24, FIND("~", SUBSTITUTE(C24, ".", "~", B25+1)) - 1)))-LEN(SUBSTITUTE(IF(ISERROR(FIND("~", SUBSTITUTE(C24, ".", "~", B25+1))), C24, LEFT(C24, FIND("~", SUBSTITUTE(C24, ".", "~", B25+1)) - 1)), ".", ""))))+1, 100)+1)))</f>
      </c>
      <c r="D25" s="13" t="s">
        <v>80</v>
      </c>
      <c r="E25" s="6" t="s">
        <v>33</v>
      </c>
      <c r="F25" s="7">
        <v>46156.91666666667</v>
      </c>
      <c r="G25" s="7">
        <v>46159.91666666667</v>
      </c>
      <c r="H25" s="6">
        <v>0</v>
      </c>
      <c r="I25" s="6" t="s">
        <v>34</v>
      </c>
      <c r="J25" s="8"/>
      <c r="K25" s="8"/>
      <c r="L25" s="12"/>
      <c r="M25" s="12"/>
      <c r="N25" s="12"/>
      <c r="O25" s="26"/>
      <c r="P25" s="27"/>
      <c r="Q25" s="27"/>
      <c r="R25" s="28"/>
      <c r="S25" s="12"/>
      <c r="T25" s="12"/>
      <c r="U25" s="12"/>
      <c r="V25" s="12"/>
      <c r="W25" s="12"/>
      <c r="X25" s="8"/>
      <c r="Y25" s="8"/>
      <c r="Z25" s="12"/>
      <c r="AA25" s="12"/>
      <c r="AB25" s="12"/>
      <c r="AC25" s="12"/>
      <c r="AD25" s="12"/>
    </row>
    <row r="26" ht="24" customHeight="1" spans="1:30" x14ac:dyDescent="0.25">
      <c r="A26" t="s">
        <v>81</v>
      </c>
      <c r="B26">
        <v>0</v>
      </c>
      <c r="C26" s="4">
        <f>IF(B26 &gt; B25, C25 &amp; ".1", IF(ISERROR(FIND("~", SUBSTITUTE(IF(ISERROR(FIND("~", SUBSTITUTE(C25, ".", "~", B26+1))), C25, LEFT(C25, FIND("~", SUBSTITUTE(C25, ".", "~", B26+1)) - 1)), ".", "~", LEN(IF(ISERROR(FIND("~", SUBSTITUTE(C25, ".", "~", B26+1))), C25, LEFT(C25, FIND("~", SUBSTITUTE(C25, ".", "~", B26+1)) - 1)))-LEN(SUBSTITUTE(IF(ISERROR(FIND("~", SUBSTITUTE(C25, ".", "~", B26+1))), C25, LEFT(C25, FIND("~", SUBSTITUTE(C25, ".", "~", B26+1)) - 1)), ".", ""))))), IF(ISERROR(FIND("~", SUBSTITUTE(C25, ".", "~", B26+1))), C25, LEFT(C25, FIND("~", SUBSTITUTE(C25, ".", "~", B26+1)) - 1))+1, LEFT(IF(ISERROR(FIND("~", SUBSTITUTE(C25, ".", "~", B26+1))), C25, LEFT(C25, FIND("~", SUBSTITUTE(C25, ".", "~", B26+1)) - 1)), FIND("~", SUBSTITUTE(IF(ISERROR(FIND("~", SUBSTITUTE(C25, ".", "~", B26+1))), C25, LEFT(C25, FIND("~", SUBSTITUTE(C25, ".", "~", B26+1)) - 1)), ".", "~", LEN(IF(ISERROR(FIND("~", SUBSTITUTE(C25, ".", "~", B26+1))), C25, LEFT(C25, FIND("~", SUBSTITUTE(C25, ".", "~", B26+1)) - 1)))-LEN(SUBSTITUTE(IF(ISERROR(FIND("~", SUBSTITUTE(C25, ".", "~", B26+1))), C25, LEFT(C25, FIND("~", SUBSTITUTE(C25, ".", "~", B26+1)) - 1)), ".", ""))))) &amp; (MID(IF(ISERROR(FIND("~", SUBSTITUTE(C25, ".", "~", B26+1))), C25, LEFT(C25, FIND("~", SUBSTITUTE(C25, ".", "~", B26+1)) - 1)), FIND("~", SUBSTITUTE(IF(ISERROR(FIND("~", SUBSTITUTE(C25, ".", "~", B26+1))), C25, LEFT(C25, FIND("~", SUBSTITUTE(C25, ".", "~", B26+1)) - 1)), ".", "~", LEN(IF(ISERROR(FIND("~", SUBSTITUTE(C25, ".", "~", B26+1))), C25, LEFT(C25, FIND("~", SUBSTITUTE(C25, ".", "~", B26+1)) - 1)))-LEN(SUBSTITUTE(IF(ISERROR(FIND("~", SUBSTITUTE(C25, ".", "~", B26+1))), C25, LEFT(C25, FIND("~", SUBSTITUTE(C25, ".", "~", B26+1)) - 1)), ".", ""))))+1, 100)+1)))</f>
      </c>
      <c r="D26" s="5" t="s">
        <v>82</v>
      </c>
      <c r="E26" s="6" t="s">
        <v>33</v>
      </c>
      <c r="F26" s="7">
        <v>46153.91666666667</v>
      </c>
      <c r="G26" s="7">
        <v>46158.91666666667</v>
      </c>
      <c r="H26" s="6">
        <v>25</v>
      </c>
      <c r="I26" s="6" t="s">
        <v>70</v>
      </c>
      <c r="J26" s="8"/>
      <c r="K26" s="8"/>
      <c r="L26" s="29"/>
      <c r="M26" s="30"/>
      <c r="N26" s="30"/>
      <c r="O26" s="30"/>
      <c r="P26" s="30"/>
      <c r="Q26" s="31"/>
      <c r="R26" s="8"/>
      <c r="S26" s="12"/>
      <c r="T26" s="12"/>
      <c r="U26" s="12"/>
      <c r="V26" s="12"/>
      <c r="W26" s="12"/>
      <c r="X26" s="8"/>
      <c r="Y26" s="8"/>
      <c r="Z26" s="12"/>
      <c r="AA26" s="12"/>
      <c r="AB26" s="12"/>
      <c r="AC26" s="12"/>
      <c r="AD26" s="12"/>
    </row>
    <row r="27" ht="24" customHeight="1" spans="1:30" x14ac:dyDescent="0.25">
      <c r="A27" t="s">
        <v>83</v>
      </c>
      <c r="B27">
        <v>0</v>
      </c>
      <c r="C27" s="4">
        <f>IF(B27 &gt; B26, C26 &amp; ".1", IF(ISERROR(FIND("~", SUBSTITUTE(IF(ISERROR(FIND("~", SUBSTITUTE(C26, ".", "~", B27+1))), C26, LEFT(C26, FIND("~", SUBSTITUTE(C26, ".", "~", B27+1)) - 1)), ".", "~", LEN(IF(ISERROR(FIND("~", SUBSTITUTE(C26, ".", "~", B27+1))), C26, LEFT(C26, FIND("~", SUBSTITUTE(C26, ".", "~", B27+1)) - 1)))-LEN(SUBSTITUTE(IF(ISERROR(FIND("~", SUBSTITUTE(C26, ".", "~", B27+1))), C26, LEFT(C26, FIND("~", SUBSTITUTE(C26, ".", "~", B27+1)) - 1)), ".", ""))))), IF(ISERROR(FIND("~", SUBSTITUTE(C26, ".", "~", B27+1))), C26, LEFT(C26, FIND("~", SUBSTITUTE(C26, ".", "~", B27+1)) - 1))+1, LEFT(IF(ISERROR(FIND("~", SUBSTITUTE(C26, ".", "~", B27+1))), C26, LEFT(C26, FIND("~", SUBSTITUTE(C26, ".", "~", B27+1)) - 1)), FIND("~", SUBSTITUTE(IF(ISERROR(FIND("~", SUBSTITUTE(C26, ".", "~", B27+1))), C26, LEFT(C26, FIND("~", SUBSTITUTE(C26, ".", "~", B27+1)) - 1)), ".", "~", LEN(IF(ISERROR(FIND("~", SUBSTITUTE(C26, ".", "~", B27+1))), C26, LEFT(C26, FIND("~", SUBSTITUTE(C26, ".", "~", B27+1)) - 1)))-LEN(SUBSTITUTE(IF(ISERROR(FIND("~", SUBSTITUTE(C26, ".", "~", B27+1))), C26, LEFT(C26, FIND("~", SUBSTITUTE(C26, ".", "~", B27+1)) - 1)), ".", ""))))) &amp; (MID(IF(ISERROR(FIND("~", SUBSTITUTE(C26, ".", "~", B27+1))), C26, LEFT(C26, FIND("~", SUBSTITUTE(C26, ".", "~", B27+1)) - 1)), FIND("~", SUBSTITUTE(IF(ISERROR(FIND("~", SUBSTITUTE(C26, ".", "~", B27+1))), C26, LEFT(C26, FIND("~", SUBSTITUTE(C26, ".", "~", B27+1)) - 1)), ".", "~", LEN(IF(ISERROR(FIND("~", SUBSTITUTE(C26, ".", "~", B27+1))), C26, LEFT(C26, FIND("~", SUBSTITUTE(C26, ".", "~", B27+1)) - 1)))-LEN(SUBSTITUTE(IF(ISERROR(FIND("~", SUBSTITUTE(C26, ".", "~", B27+1))), C26, LEFT(C26, FIND("~", SUBSTITUTE(C26, ".", "~", B27+1)) - 1)), ".", ""))))+1, 100)+1)))</f>
      </c>
      <c r="D27" s="5" t="s">
        <v>84</v>
      </c>
      <c r="E27" s="6" t="s">
        <v>33</v>
      </c>
      <c r="F27" s="7">
        <v>46153.91666666667</v>
      </c>
      <c r="G27" s="7">
        <v>46158.91666666667</v>
      </c>
      <c r="H27" s="6">
        <v>25</v>
      </c>
      <c r="I27" s="6" t="s">
        <v>70</v>
      </c>
      <c r="J27" s="8"/>
      <c r="K27" s="8"/>
      <c r="L27" s="32"/>
      <c r="M27" s="33"/>
      <c r="N27" s="33"/>
      <c r="O27" s="33"/>
      <c r="P27" s="33"/>
      <c r="Q27" s="34"/>
      <c r="R27" s="8"/>
      <c r="S27" s="12"/>
      <c r="T27" s="12"/>
      <c r="U27" s="12"/>
      <c r="V27" s="12"/>
      <c r="W27" s="12"/>
      <c r="X27" s="8"/>
      <c r="Y27" s="8"/>
      <c r="Z27" s="12"/>
      <c r="AA27" s="12"/>
      <c r="AB27" s="12"/>
      <c r="AC27" s="12"/>
      <c r="AD27" s="12"/>
    </row>
  </sheetData>
  <mergeCells count="10">
    <mergeCell ref="J1:AD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GanttFather</dc:creator>
  <dc:title/>
  <dc:subject/>
  <dc:description/>
  <cp:keywords/>
  <cp:category/>
  <cp:lastModifiedBy>Unknown</cp:lastModifiedBy>
  <dcterms:created xsi:type="dcterms:W3CDTF">2026-05-12T16:13:02Z</dcterms:created>
  <dcterms:modified xsi:type="dcterms:W3CDTF">2026-05-12T16:13:02Z</dcterms:modified>
</cp:coreProperties>
</file>